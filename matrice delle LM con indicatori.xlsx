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F91C62C-A609-4F2F-9F98-424BAEF5C4C3}" xr6:coauthVersionLast="47" xr6:coauthVersionMax="47" xr10:uidLastSave="{00000000-0000-0000-0000-000000000000}"/>
  <bookViews>
    <workbookView xWindow="-120" yWindow="-120" windowWidth="29040" windowHeight="15840" xr2:uid="{D1C7B514-5192-4F91-8DF7-E28268D531FE}"/>
  </bookViews>
  <sheets>
    <sheet name="Tutte le stem" sheetId="1" r:id="rId1"/>
    <sheet name="STEM non analizzate" sheetId="3" r:id="rId2"/>
    <sheet name="Singoli gruppi STEM" sheetId="2" r:id="rId3"/>
  </sheets>
  <definedNames>
    <definedName name="_xlnm._FilterDatabase" localSheetId="0" hidden="1">'Tutte le stem'!$A$1:$Y$37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2" l="1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B42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B41" i="2"/>
  <c r="Y39" i="2"/>
  <c r="C39" i="2"/>
  <c r="D39" i="2"/>
  <c r="D40" i="2" s="1"/>
  <c r="E39" i="2"/>
  <c r="E40" i="2" s="1"/>
  <c r="F39" i="2"/>
  <c r="G39" i="2"/>
  <c r="H39" i="2"/>
  <c r="H40" i="2" s="1"/>
  <c r="I39" i="2"/>
  <c r="I40" i="2" s="1"/>
  <c r="J39" i="2"/>
  <c r="K39" i="2"/>
  <c r="L39" i="2"/>
  <c r="L40" i="2" s="1"/>
  <c r="M39" i="2"/>
  <c r="M40" i="2" s="1"/>
  <c r="N39" i="2"/>
  <c r="O39" i="2"/>
  <c r="P39" i="2"/>
  <c r="P40" i="2" s="1"/>
  <c r="Q39" i="2"/>
  <c r="Q40" i="2" s="1"/>
  <c r="R39" i="2"/>
  <c r="S39" i="2"/>
  <c r="T39" i="2"/>
  <c r="T40" i="2" s="1"/>
  <c r="U39" i="2"/>
  <c r="U40" i="2" s="1"/>
  <c r="V39" i="2"/>
  <c r="W39" i="2"/>
  <c r="X39" i="2"/>
  <c r="X40" i="2" s="1"/>
  <c r="B39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B38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B37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B36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B35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B31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B30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B28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B27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B26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B25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B24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B2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B19" i="2"/>
  <c r="C17" i="2"/>
  <c r="D17" i="2"/>
  <c r="E17" i="2"/>
  <c r="F17" i="2"/>
  <c r="G17" i="2"/>
  <c r="G18" i="2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B17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B16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B15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B14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B13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B9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B8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B6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B5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B4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B3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B2" i="2"/>
  <c r="W48" i="1"/>
  <c r="F48" i="1"/>
  <c r="G48" i="1"/>
  <c r="K48" i="1"/>
  <c r="L48" i="1"/>
  <c r="M48" i="1"/>
  <c r="N48" i="1"/>
  <c r="O48" i="1"/>
  <c r="P48" i="1"/>
  <c r="Q48" i="1"/>
  <c r="R48" i="1"/>
  <c r="S48" i="1"/>
  <c r="T48" i="1"/>
  <c r="U48" i="1"/>
  <c r="B48" i="1"/>
  <c r="C48" i="1"/>
  <c r="D48" i="1"/>
  <c r="H48" i="1"/>
  <c r="I48" i="1"/>
  <c r="J48" i="1"/>
  <c r="V48" i="1"/>
  <c r="X48" i="1"/>
  <c r="Y48" i="1"/>
  <c r="F47" i="1"/>
  <c r="G47" i="1"/>
  <c r="K47" i="1"/>
  <c r="L47" i="1"/>
  <c r="M47" i="1"/>
  <c r="N47" i="1"/>
  <c r="O47" i="1"/>
  <c r="P47" i="1"/>
  <c r="Q47" i="1"/>
  <c r="R47" i="1"/>
  <c r="S47" i="1"/>
  <c r="T47" i="1"/>
  <c r="U47" i="1"/>
  <c r="B47" i="1"/>
  <c r="C47" i="1"/>
  <c r="D47" i="1"/>
  <c r="H47" i="1"/>
  <c r="I47" i="1"/>
  <c r="J47" i="1"/>
  <c r="V47" i="1"/>
  <c r="W47" i="1"/>
  <c r="X47" i="1"/>
  <c r="Y47" i="1"/>
  <c r="F46" i="1"/>
  <c r="G46" i="1"/>
  <c r="K46" i="1"/>
  <c r="L46" i="1"/>
  <c r="M46" i="1"/>
  <c r="N46" i="1"/>
  <c r="O46" i="1"/>
  <c r="P46" i="1"/>
  <c r="Q46" i="1"/>
  <c r="R46" i="1"/>
  <c r="S46" i="1"/>
  <c r="T46" i="1"/>
  <c r="U46" i="1"/>
  <c r="B46" i="1"/>
  <c r="C46" i="1"/>
  <c r="D46" i="1"/>
  <c r="H46" i="1"/>
  <c r="I46" i="1"/>
  <c r="J46" i="1"/>
  <c r="V46" i="1"/>
  <c r="W46" i="1"/>
  <c r="X46" i="1"/>
  <c r="Y46" i="1"/>
  <c r="F44" i="1"/>
  <c r="G44" i="1"/>
  <c r="G45" i="1" s="1"/>
  <c r="K44" i="1"/>
  <c r="L44" i="1"/>
  <c r="M44" i="1"/>
  <c r="N44" i="1"/>
  <c r="N45" i="1" s="1"/>
  <c r="O44" i="1"/>
  <c r="P44" i="1"/>
  <c r="Q44" i="1"/>
  <c r="Q45" i="1" s="1"/>
  <c r="R44" i="1"/>
  <c r="S44" i="1"/>
  <c r="T44" i="1"/>
  <c r="U44" i="1"/>
  <c r="B44" i="1"/>
  <c r="B45" i="1" s="1"/>
  <c r="C44" i="1"/>
  <c r="D44" i="1"/>
  <c r="H44" i="1"/>
  <c r="I44" i="1"/>
  <c r="J44" i="1"/>
  <c r="V44" i="1"/>
  <c r="W44" i="1"/>
  <c r="X44" i="1"/>
  <c r="X45" i="1" s="1"/>
  <c r="Y44" i="1"/>
  <c r="F43" i="1"/>
  <c r="G43" i="1"/>
  <c r="K43" i="1"/>
  <c r="L43" i="1"/>
  <c r="M43" i="1"/>
  <c r="N43" i="1"/>
  <c r="O43" i="1"/>
  <c r="P43" i="1"/>
  <c r="Q43" i="1"/>
  <c r="R43" i="1"/>
  <c r="S43" i="1"/>
  <c r="T43" i="1"/>
  <c r="U43" i="1"/>
  <c r="B43" i="1"/>
  <c r="C43" i="1"/>
  <c r="D43" i="1"/>
  <c r="H43" i="1"/>
  <c r="I43" i="1"/>
  <c r="J43" i="1"/>
  <c r="V43" i="1"/>
  <c r="W43" i="1"/>
  <c r="X43" i="1"/>
  <c r="Y43" i="1"/>
  <c r="F42" i="1"/>
  <c r="G42" i="1"/>
  <c r="K42" i="1"/>
  <c r="L42" i="1"/>
  <c r="M42" i="1"/>
  <c r="N42" i="1"/>
  <c r="O42" i="1"/>
  <c r="P42" i="1"/>
  <c r="Q42" i="1"/>
  <c r="R42" i="1"/>
  <c r="S42" i="1"/>
  <c r="T42" i="1"/>
  <c r="U42" i="1"/>
  <c r="B42" i="1"/>
  <c r="C42" i="1"/>
  <c r="D42" i="1"/>
  <c r="H42" i="1"/>
  <c r="I42" i="1"/>
  <c r="J42" i="1"/>
  <c r="V42" i="1"/>
  <c r="W42" i="1"/>
  <c r="X42" i="1"/>
  <c r="Y42" i="1"/>
  <c r="W40" i="1"/>
  <c r="X40" i="1"/>
  <c r="Y40" i="1"/>
  <c r="F41" i="1"/>
  <c r="G41" i="1"/>
  <c r="K41" i="1"/>
  <c r="L41" i="1"/>
  <c r="M41" i="1"/>
  <c r="N41" i="1"/>
  <c r="O41" i="1"/>
  <c r="P41" i="1"/>
  <c r="Q41" i="1"/>
  <c r="R41" i="1"/>
  <c r="S41" i="1"/>
  <c r="T41" i="1"/>
  <c r="U41" i="1"/>
  <c r="B41" i="1"/>
  <c r="C41" i="1"/>
  <c r="D41" i="1"/>
  <c r="H41" i="1"/>
  <c r="I41" i="1"/>
  <c r="J41" i="1"/>
  <c r="V41" i="1"/>
  <c r="W41" i="1"/>
  <c r="X41" i="1"/>
  <c r="Y41" i="1"/>
  <c r="F40" i="1"/>
  <c r="G40" i="1"/>
  <c r="K40" i="1"/>
  <c r="L40" i="1"/>
  <c r="M40" i="1"/>
  <c r="N40" i="1"/>
  <c r="O40" i="1"/>
  <c r="O45" i="1" s="1"/>
  <c r="P40" i="1"/>
  <c r="Q40" i="1"/>
  <c r="R40" i="1"/>
  <c r="R45" i="1" s="1"/>
  <c r="S40" i="1"/>
  <c r="T40" i="1"/>
  <c r="U40" i="1"/>
  <c r="B40" i="1"/>
  <c r="C40" i="1"/>
  <c r="C45" i="1" s="1"/>
  <c r="D40" i="1"/>
  <c r="H40" i="1"/>
  <c r="I40" i="1"/>
  <c r="J40" i="1"/>
  <c r="V40" i="1"/>
  <c r="E43" i="1"/>
  <c r="E42" i="1"/>
  <c r="E47" i="1"/>
  <c r="E46" i="1"/>
  <c r="E44" i="1"/>
  <c r="E40" i="1"/>
  <c r="E41" i="1"/>
  <c r="E48" i="1"/>
  <c r="J7" i="2" l="1"/>
  <c r="B18" i="2"/>
  <c r="J18" i="2"/>
  <c r="B40" i="2"/>
  <c r="H45" i="1"/>
  <c r="Y7" i="2"/>
  <c r="I7" i="2"/>
  <c r="Y18" i="2"/>
  <c r="Q18" i="2"/>
  <c r="I18" i="2"/>
  <c r="Y29" i="2"/>
  <c r="Q29" i="2"/>
  <c r="I29" i="2"/>
  <c r="R7" i="2"/>
  <c r="R18" i="2"/>
  <c r="B29" i="2"/>
  <c r="R29" i="2"/>
  <c r="J29" i="2"/>
  <c r="F45" i="1"/>
  <c r="Q7" i="2"/>
  <c r="X7" i="2"/>
  <c r="P7" i="2"/>
  <c r="H7" i="2"/>
  <c r="X18" i="2"/>
  <c r="P18" i="2"/>
  <c r="H18" i="2"/>
  <c r="X29" i="2"/>
  <c r="P29" i="2"/>
  <c r="H29" i="2"/>
  <c r="W40" i="2"/>
  <c r="O40" i="2"/>
  <c r="G40" i="2"/>
  <c r="W7" i="2"/>
  <c r="W29" i="2"/>
  <c r="O29" i="2"/>
  <c r="G29" i="2"/>
  <c r="V40" i="2"/>
  <c r="N40" i="2"/>
  <c r="F40" i="2"/>
  <c r="G7" i="2"/>
  <c r="O18" i="2"/>
  <c r="V7" i="2"/>
  <c r="N7" i="2"/>
  <c r="F7" i="2"/>
  <c r="V18" i="2"/>
  <c r="N18" i="2"/>
  <c r="F18" i="2"/>
  <c r="V29" i="2"/>
  <c r="N29" i="2"/>
  <c r="F29" i="2"/>
  <c r="U7" i="2"/>
  <c r="M7" i="2"/>
  <c r="E7" i="2"/>
  <c r="U18" i="2"/>
  <c r="M18" i="2"/>
  <c r="E18" i="2"/>
  <c r="U29" i="2"/>
  <c r="M29" i="2"/>
  <c r="E29" i="2"/>
  <c r="W18" i="2"/>
  <c r="T7" i="2"/>
  <c r="L7" i="2"/>
  <c r="D7" i="2"/>
  <c r="T18" i="2"/>
  <c r="L18" i="2"/>
  <c r="D18" i="2"/>
  <c r="T29" i="2"/>
  <c r="L29" i="2"/>
  <c r="D29" i="2"/>
  <c r="S40" i="2"/>
  <c r="K40" i="2"/>
  <c r="C40" i="2"/>
  <c r="B7" i="2"/>
  <c r="O7" i="2"/>
  <c r="I45" i="1"/>
  <c r="S7" i="2"/>
  <c r="K7" i="2"/>
  <c r="C7" i="2"/>
  <c r="S18" i="2"/>
  <c r="K18" i="2"/>
  <c r="C18" i="2"/>
  <c r="S29" i="2"/>
  <c r="K29" i="2"/>
  <c r="C29" i="2"/>
  <c r="R40" i="2"/>
  <c r="J40" i="2"/>
  <c r="Y40" i="2"/>
  <c r="W45" i="1"/>
  <c r="U45" i="1"/>
  <c r="M45" i="1"/>
  <c r="V45" i="1"/>
  <c r="T45" i="1"/>
  <c r="L45" i="1"/>
  <c r="J45" i="1"/>
  <c r="S45" i="1"/>
  <c r="K45" i="1"/>
  <c r="E45" i="1"/>
  <c r="Y45" i="1"/>
  <c r="D45" i="1"/>
  <c r="P45" i="1"/>
</calcChain>
</file>

<file path=xl/sharedStrings.xml><?xml version="1.0" encoding="utf-8"?>
<sst xmlns="http://schemas.openxmlformats.org/spreadsheetml/2006/main" count="207" uniqueCount="93">
  <si>
    <t>Numero di laureati</t>
  </si>
  <si>
    <t>Numero di intervistati</t>
  </si>
  <si>
    <t>Tasso di risposta sui laureati contattabili</t>
  </si>
  <si>
    <t>età alla laurea</t>
  </si>
  <si>
    <t>voto di laurea</t>
  </si>
  <si>
    <t>durata degli studi</t>
  </si>
  <si>
    <t>indice di ritardo</t>
  </si>
  <si>
    <t>tasso di occupazione</t>
  </si>
  <si>
    <t>tempo dall'inizio della ricerca al reperimento del primo lavoro</t>
  </si>
  <si>
    <t>tempo indeterminato</t>
  </si>
  <si>
    <t>diffusione smart working</t>
  </si>
  <si>
    <t>numero di ore di lavoro settimanali</t>
  </si>
  <si>
    <t>retribuzione mensile netta uomini</t>
  </si>
  <si>
    <t>retribuzione mensile netta donne</t>
  </si>
  <si>
    <t xml:space="preserve">retribuzione mensile netta totale </t>
  </si>
  <si>
    <t>utilizzo elevato delle competenze acquisite</t>
  </si>
  <si>
    <t>laurea molto efficace per il lavoro svolto</t>
  </si>
  <si>
    <t xml:space="preserve">soddisfazione lavoro svolto </t>
  </si>
  <si>
    <t xml:space="preserve">occupati che cercano lavoro </t>
  </si>
  <si>
    <t>Classe di laurea</t>
  </si>
  <si>
    <t>laurea abbastanza efficace per il lavoro svolto</t>
  </si>
  <si>
    <t>gender gap retribuzione</t>
  </si>
  <si>
    <t>adeguatezza della formazione professionale acquisita all'università : molto adeguata</t>
  </si>
  <si>
    <t>Ingengeria Meccanica LM-33</t>
  </si>
  <si>
    <t>scienze della nutrizione umana LM-61</t>
  </si>
  <si>
    <t>Ingegneria Informatica LM-32</t>
  </si>
  <si>
    <t>ingegneria dei sistemi edilizi LM-24</t>
  </si>
  <si>
    <t xml:space="preserve"> Biologia LM-6</t>
  </si>
  <si>
    <t>Ingegneria Civile LM-23</t>
  </si>
  <si>
    <t>Ingegneria Gestionale LM-31</t>
  </si>
  <si>
    <t>Architettura e Ingegneria Edile Architettura LM-4</t>
  </si>
  <si>
    <t>Biotecnologie mediche veterinarie e farmaceutiche LM-9</t>
  </si>
  <si>
    <t>Matematica LM-40</t>
  </si>
  <si>
    <t>Fisica LM-17</t>
  </si>
  <si>
    <t>Scienze Chimiche LM-54</t>
  </si>
  <si>
    <t>Ingegneria ambiente e territorio LM-35</t>
  </si>
  <si>
    <t>Ingegneria Biomedica LM-21</t>
  </si>
  <si>
    <t>Informatica LM-18</t>
  </si>
  <si>
    <t>Ingegneria Elettronica LM-29</t>
  </si>
  <si>
    <t>Ingegneria Energetica e nucleare LM-30</t>
  </si>
  <si>
    <t>scienze e tecnologie geologiche LM-74</t>
  </si>
  <si>
    <t>ingegneria chimica LM-22</t>
  </si>
  <si>
    <t>ingegneria aerospaziale LM-20</t>
  </si>
  <si>
    <t>ingegneria dell'automazione LM-25</t>
  </si>
  <si>
    <t>Ingegneria elettrica LM-28</t>
  </si>
  <si>
    <t>scienze statistiche LM-82</t>
  </si>
  <si>
    <t>ingegneria telecomunicazioni LM-27</t>
  </si>
  <si>
    <t>biotecnologie industriali LM-8</t>
  </si>
  <si>
    <t>scienze e tecnologie ambiente e territorio LM-75</t>
  </si>
  <si>
    <t>scienze e ingegneria dei materiali LM-53</t>
  </si>
  <si>
    <t>scienze e tecnologie della chimica industriale LM-71</t>
  </si>
  <si>
    <t>Scienze della natura LM-60</t>
  </si>
  <si>
    <t>Scienze statistiche attuariali e finanziarie LM-83</t>
  </si>
  <si>
    <t>pianificazione territoriale urbanistica e ambientale  LM-48</t>
  </si>
  <si>
    <t>Ingegneria Navale LM-34</t>
  </si>
  <si>
    <t>Architettura del paesaggio LM-3</t>
  </si>
  <si>
    <t xml:space="preserve">conservazione e restauro dei beni culturali LM-11 </t>
  </si>
  <si>
    <t>Scienze dell'universo LM-58</t>
  </si>
  <si>
    <t>Ingegneria della sicurezza LM-26</t>
  </si>
  <si>
    <t>Legenda Colori delle STEM</t>
  </si>
  <si>
    <t>CLASSI DI LAUREA DEL GRUPPO DISCIPLINARE SCIENTIFICO</t>
  </si>
  <si>
    <t>CLASSI DI LAUREA DEL GRUPPO DISCIPLINARE TECNOLOGICO</t>
  </si>
  <si>
    <t>CLASSI DI LAUREA DEL GRUPPO DISCIPLINARE INGEGNERIA</t>
  </si>
  <si>
    <t>CLASSI DI LAUREA DEL GRUPPO DISCIPLINARE MATEMATICO</t>
  </si>
  <si>
    <t>2 CLASSI DI LAUREA DEL GRUPPO MATEMATICO</t>
  </si>
  <si>
    <t xml:space="preserve">36 CLASSI DI LAUREA </t>
  </si>
  <si>
    <t>6 CLASSI DI LAUREA DEL GRUPPO TECNOLOGICO</t>
  </si>
  <si>
    <t>8 CLASSI DI LAUREA DEL GRUPPO SCIENTIFICO</t>
  </si>
  <si>
    <t>20 CLASSI DI LAUREA DEL GRUPPO INGEGNERIA</t>
  </si>
  <si>
    <t>% Uomini</t>
  </si>
  <si>
    <t>% Donne</t>
  </si>
  <si>
    <t>Indici di posizione</t>
  </si>
  <si>
    <t>MEDIA</t>
  </si>
  <si>
    <t>MEDIANA</t>
  </si>
  <si>
    <t>VALORE MINIMO</t>
  </si>
  <si>
    <t>VALORE MASSIMO</t>
  </si>
  <si>
    <t>DEVIAZIONE STANDARD</t>
  </si>
  <si>
    <t>COEFFICIENTE DI VARIAZIONE</t>
  </si>
  <si>
    <t>PRIMO QUARTILE</t>
  </si>
  <si>
    <t>TERZO QUARTILE</t>
  </si>
  <si>
    <t>MODA</t>
  </si>
  <si>
    <t>Gruppo disciplinare Scientifico</t>
  </si>
  <si>
    <t>Gruppo disciplinare Tecnologico</t>
  </si>
  <si>
    <t>Gruppo disciplinare Ingegneria</t>
  </si>
  <si>
    <t>Gruppo disciplinare Matematico</t>
  </si>
  <si>
    <t>Indici di posizione dei singoli gruppi stem</t>
  </si>
  <si>
    <t>LM-44 Lauree Magistrali in Modellistica Matematico-Fisica per l'ingegneria</t>
  </si>
  <si>
    <t>LM-66 Lauree Magistrali in Sicurezza Informatica</t>
  </si>
  <si>
    <t>LM-72 Scienze e Tecnologie della Navigazione</t>
  </si>
  <si>
    <t>LM-79 Lauree Magistrali in Scienze Geofisiche</t>
  </si>
  <si>
    <t>LM-91 Tecniche e Metodi per La società dell'informazione</t>
  </si>
  <si>
    <t>Classe di Laurea</t>
  </si>
  <si>
    <t>Numero di Laureati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</si>
</sst>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4"/>
      <color rgb="FF3F3F76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5EB1F"/>
        <bgColor indexed="64"/>
      </patternFill>
    </fill>
    <fill>
      <patternFill patternType="solid">
        <fgColor rgb="FFFFFFCC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">
    <xf numFmtId="0" fontId="0" fillId="0" borderId="0"/>
    <xf numFmtId="0" fontId="1" fillId="6" borderId="2" applyNumberFormat="0" applyFont="0" applyAlignment="0" applyProtection="0"/>
    <xf numFmtId="9" fontId="1" fillId="0" borderId="0" applyFont="0" applyFill="0" applyBorder="0" applyAlignment="0" applyProtection="0"/>
    <xf numFmtId="0" fontId="5" fillId="7" borderId="6" applyNumberFormat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6" borderId="5" xfId="1" applyFont="1" applyBorder="1" applyAlignment="1">
      <alignment horizontal="center"/>
    </xf>
    <xf numFmtId="0" fontId="0" fillId="6" borderId="1" xfId="1" applyFont="1" applyBorder="1" applyAlignment="1">
      <alignment horizontal="center" wrapText="1"/>
    </xf>
    <xf numFmtId="0" fontId="0" fillId="0" borderId="1" xfId="0" applyBorder="1"/>
    <xf numFmtId="0" fontId="0" fillId="6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6" borderId="1" xfId="1" applyFont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7" borderId="7" xfId="3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6" borderId="4" xfId="1" applyFont="1" applyBorder="1" applyAlignment="1">
      <alignment horizontal="center"/>
    </xf>
    <xf numFmtId="0" fontId="0" fillId="3" borderId="0" xfId="1" applyFont="1" applyFill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0" fontId="0" fillId="6" borderId="4" xfId="1" applyFont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3" xfId="0" applyFill="1" applyBorder="1" applyAlignment="1">
      <alignment horizontal="center"/>
    </xf>
    <xf numFmtId="0" fontId="0" fillId="3" borderId="3" xfId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6" borderId="8" xfId="1" applyFont="1" applyBorder="1" applyAlignment="1">
      <alignment horizontal="center"/>
    </xf>
    <xf numFmtId="0" fontId="2" fillId="6" borderId="5" xfId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7" fillId="7" borderId="6" xfId="3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</cellXfs>
  <cellStyles count="4">
    <cellStyle name="Input" xfId="3" builtinId="20"/>
    <cellStyle name="Normale" xfId="0" builtinId="0"/>
    <cellStyle name="Nota" xfId="1" builtinId="10"/>
    <cellStyle name="Percentuale" xfId="2" builtinId="5"/>
  </cellStyles>
  <dxfs count="0"/>
  <tableStyles count="0" defaultTableStyle="TableStyleMedium2" defaultPivotStyle="PivotStyleLight16"/>
  <colors>
    <mruColors>
      <color rgb="FF15EB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333B-008C-474A-AAAF-62B97A51F136}">
  <dimension ref="A1:BC62"/>
  <sheetViews>
    <sheetView tabSelected="1" workbookViewId="0"/>
  </sheetViews>
  <sheetFormatPr defaultRowHeight="15" x14ac:dyDescent="0.25"/>
  <cols>
    <col min="1" max="1" width="70.5703125" customWidth="1"/>
    <col min="2" max="4" width="16.28515625" customWidth="1"/>
    <col min="5" max="5" width="13.85546875" customWidth="1"/>
    <col min="6" max="6" width="13" customWidth="1"/>
    <col min="7" max="7" width="11.5703125" customWidth="1"/>
    <col min="10" max="10" width="13.85546875" customWidth="1"/>
    <col min="11" max="11" width="17" customWidth="1"/>
    <col min="12" max="12" width="25" style="2" customWidth="1"/>
    <col min="13" max="13" width="15" customWidth="1"/>
    <col min="14" max="14" width="20.140625" customWidth="1"/>
    <col min="15" max="15" width="17.7109375" customWidth="1"/>
    <col min="16" max="16" width="15" customWidth="1"/>
    <col min="17" max="17" width="23.85546875" customWidth="1"/>
    <col min="18" max="18" width="28" customWidth="1"/>
    <col min="19" max="19" width="13.42578125" customWidth="1"/>
    <col min="20" max="20" width="13.140625" customWidth="1"/>
    <col min="21" max="21" width="12.5703125" customWidth="1"/>
    <col min="22" max="22" width="9.85546875" customWidth="1"/>
    <col min="23" max="23" width="12.42578125" style="1" bestFit="1" customWidth="1"/>
    <col min="24" max="24" width="16" customWidth="1"/>
    <col min="25" max="25" width="20.140625" customWidth="1"/>
  </cols>
  <sheetData>
    <row r="1" spans="1:25" s="1" customFormat="1" ht="47.25" customHeight="1" x14ac:dyDescent="0.25">
      <c r="A1" s="17" t="s">
        <v>19</v>
      </c>
      <c r="B1" s="13" t="s">
        <v>0</v>
      </c>
      <c r="C1" s="13" t="s">
        <v>1</v>
      </c>
      <c r="D1" s="13" t="s">
        <v>2</v>
      </c>
      <c r="E1" s="15" t="s">
        <v>3</v>
      </c>
      <c r="F1" s="15" t="s">
        <v>4</v>
      </c>
      <c r="G1" s="13" t="s">
        <v>6</v>
      </c>
      <c r="H1" s="13" t="s">
        <v>69</v>
      </c>
      <c r="I1" s="13" t="s">
        <v>70</v>
      </c>
      <c r="J1" s="13" t="s">
        <v>5</v>
      </c>
      <c r="K1" s="13" t="s">
        <v>7</v>
      </c>
      <c r="L1" s="13" t="s">
        <v>8</v>
      </c>
      <c r="M1" s="13" t="s">
        <v>9</v>
      </c>
      <c r="N1" s="13" t="s">
        <v>11</v>
      </c>
      <c r="O1" s="13" t="s">
        <v>21</v>
      </c>
      <c r="P1" s="13" t="s">
        <v>14</v>
      </c>
      <c r="Q1" s="13" t="s">
        <v>15</v>
      </c>
      <c r="R1" s="13" t="s">
        <v>22</v>
      </c>
      <c r="S1" s="13" t="s">
        <v>16</v>
      </c>
      <c r="T1" s="13" t="s">
        <v>17</v>
      </c>
      <c r="U1" s="13" t="s">
        <v>18</v>
      </c>
      <c r="V1" s="13" t="s">
        <v>10</v>
      </c>
      <c r="W1" s="13" t="s">
        <v>12</v>
      </c>
      <c r="X1" s="13" t="s">
        <v>13</v>
      </c>
      <c r="Y1" s="13" t="s">
        <v>20</v>
      </c>
    </row>
    <row r="2" spans="1:25" ht="15.75" x14ac:dyDescent="0.25">
      <c r="A2" s="18" t="s">
        <v>27</v>
      </c>
      <c r="B2" s="3">
        <v>3238</v>
      </c>
      <c r="C2" s="3">
        <v>1673</v>
      </c>
      <c r="D2" s="3">
        <v>67.5</v>
      </c>
      <c r="E2" s="3">
        <v>27.1</v>
      </c>
      <c r="F2" s="3">
        <v>109</v>
      </c>
      <c r="G2" s="3">
        <v>0.19</v>
      </c>
      <c r="H2" s="3">
        <v>27.2</v>
      </c>
      <c r="I2" s="3">
        <v>72.8</v>
      </c>
      <c r="J2" s="3">
        <v>2.7</v>
      </c>
      <c r="K2" s="3">
        <v>84.5</v>
      </c>
      <c r="L2" s="3">
        <v>7.1</v>
      </c>
      <c r="M2" s="3">
        <v>30.3</v>
      </c>
      <c r="N2" s="3">
        <v>34.1</v>
      </c>
      <c r="O2" s="3">
        <v>106.9</v>
      </c>
      <c r="P2" s="3">
        <v>1387</v>
      </c>
      <c r="Q2" s="3">
        <v>53.1</v>
      </c>
      <c r="R2" s="3">
        <v>57.5</v>
      </c>
      <c r="S2" s="3">
        <v>73.2</v>
      </c>
      <c r="T2" s="3">
        <v>7.9</v>
      </c>
      <c r="U2" s="3">
        <v>22.4</v>
      </c>
      <c r="V2" s="3">
        <v>25.1</v>
      </c>
      <c r="W2" s="27">
        <v>1459</v>
      </c>
      <c r="X2" s="3">
        <v>1365</v>
      </c>
      <c r="Y2" s="16">
        <v>17.3</v>
      </c>
    </row>
    <row r="3" spans="1:25" ht="15.75" x14ac:dyDescent="0.25">
      <c r="A3" s="18" t="s">
        <v>31</v>
      </c>
      <c r="B3" s="3">
        <v>1271</v>
      </c>
      <c r="C3" s="3">
        <v>654</v>
      </c>
      <c r="D3" s="3">
        <v>68.900000000000006</v>
      </c>
      <c r="E3" s="3">
        <v>26.3</v>
      </c>
      <c r="F3" s="3">
        <v>109.7</v>
      </c>
      <c r="G3" s="3">
        <v>0.11</v>
      </c>
      <c r="H3" s="3">
        <v>29</v>
      </c>
      <c r="I3" s="3">
        <v>71</v>
      </c>
      <c r="J3" s="3">
        <v>2.4</v>
      </c>
      <c r="K3" s="3">
        <v>88.5</v>
      </c>
      <c r="L3" s="3">
        <v>5.9</v>
      </c>
      <c r="M3" s="3">
        <v>43.9</v>
      </c>
      <c r="N3" s="3">
        <v>38.299999999999997</v>
      </c>
      <c r="O3" s="3">
        <v>106.1</v>
      </c>
      <c r="P3" s="3">
        <v>1475</v>
      </c>
      <c r="Q3" s="3">
        <v>54.4</v>
      </c>
      <c r="R3" s="3">
        <v>57.5</v>
      </c>
      <c r="S3" s="3">
        <v>69.400000000000006</v>
      </c>
      <c r="T3" s="3">
        <v>7.8</v>
      </c>
      <c r="U3" s="3">
        <v>23.5</v>
      </c>
      <c r="V3" s="3">
        <v>28.5</v>
      </c>
      <c r="W3" s="27">
        <v>1539</v>
      </c>
      <c r="X3" s="3">
        <v>1450</v>
      </c>
      <c r="Y3" s="3">
        <v>20.5</v>
      </c>
    </row>
    <row r="4" spans="1:25" ht="15.75" x14ac:dyDescent="0.25">
      <c r="A4" s="18" t="s">
        <v>34</v>
      </c>
      <c r="B4" s="3">
        <v>979</v>
      </c>
      <c r="C4" s="3">
        <v>512</v>
      </c>
      <c r="D4" s="3">
        <v>71.5</v>
      </c>
      <c r="E4" s="3">
        <v>26.3</v>
      </c>
      <c r="F4" s="3">
        <v>109.4</v>
      </c>
      <c r="G4" s="3">
        <v>0.15</v>
      </c>
      <c r="H4" s="3">
        <v>52.1</v>
      </c>
      <c r="I4" s="3">
        <v>47.9</v>
      </c>
      <c r="J4" s="3">
        <v>2.5</v>
      </c>
      <c r="K4" s="3">
        <v>89.5</v>
      </c>
      <c r="L4" s="3">
        <v>4.0999999999999996</v>
      </c>
      <c r="M4" s="3">
        <v>54.2</v>
      </c>
      <c r="N4" s="3">
        <v>39.1</v>
      </c>
      <c r="O4" s="3">
        <v>106.4</v>
      </c>
      <c r="P4" s="3">
        <v>1538</v>
      </c>
      <c r="Q4" s="3">
        <v>54.2</v>
      </c>
      <c r="R4" s="3">
        <v>58.9</v>
      </c>
      <c r="S4" s="3">
        <v>61.7</v>
      </c>
      <c r="T4" s="3">
        <v>7.7</v>
      </c>
      <c r="U4" s="3">
        <v>20.3</v>
      </c>
      <c r="V4" s="3">
        <v>24.1</v>
      </c>
      <c r="W4" s="27">
        <v>1585</v>
      </c>
      <c r="X4" s="3">
        <v>1490</v>
      </c>
      <c r="Y4" s="3">
        <v>29</v>
      </c>
    </row>
    <row r="5" spans="1:25" ht="15.75" x14ac:dyDescent="0.25">
      <c r="A5" s="18" t="s">
        <v>24</v>
      </c>
      <c r="B5" s="3">
        <v>801</v>
      </c>
      <c r="C5" s="3">
        <v>442</v>
      </c>
      <c r="D5" s="3">
        <v>68.400000000000006</v>
      </c>
      <c r="E5" s="3">
        <v>27.9</v>
      </c>
      <c r="F5" s="3">
        <v>107.5</v>
      </c>
      <c r="G5" s="3">
        <v>0.13</v>
      </c>
      <c r="H5" s="3">
        <v>19.5</v>
      </c>
      <c r="I5" s="3">
        <v>80.5</v>
      </c>
      <c r="J5" s="3">
        <v>2.5</v>
      </c>
      <c r="K5" s="3">
        <v>90</v>
      </c>
      <c r="L5" s="3">
        <v>5.8</v>
      </c>
      <c r="M5" s="3">
        <v>18</v>
      </c>
      <c r="N5" s="3">
        <v>32.9</v>
      </c>
      <c r="O5" s="3">
        <v>112</v>
      </c>
      <c r="P5" s="3">
        <v>1399</v>
      </c>
      <c r="Q5" s="3">
        <v>67.7</v>
      </c>
      <c r="R5" s="3">
        <v>62.1</v>
      </c>
      <c r="S5" s="3">
        <v>84.6</v>
      </c>
      <c r="T5" s="3">
        <v>8.1999999999999993</v>
      </c>
      <c r="U5" s="3">
        <v>20.399999999999999</v>
      </c>
      <c r="V5" s="3">
        <v>23.4</v>
      </c>
      <c r="W5" s="27">
        <v>1536</v>
      </c>
      <c r="X5" s="3">
        <v>1372</v>
      </c>
      <c r="Y5" s="3">
        <v>10.199999999999999</v>
      </c>
    </row>
    <row r="6" spans="1:25" ht="15.75" x14ac:dyDescent="0.25">
      <c r="A6" s="18" t="s">
        <v>47</v>
      </c>
      <c r="B6" s="3">
        <v>405</v>
      </c>
      <c r="C6" s="3">
        <v>230</v>
      </c>
      <c r="D6" s="3">
        <v>70.099999999999994</v>
      </c>
      <c r="E6" s="3">
        <v>26.3</v>
      </c>
      <c r="F6" s="3">
        <v>109</v>
      </c>
      <c r="G6" s="3">
        <v>0.14000000000000001</v>
      </c>
      <c r="H6" s="3">
        <v>38</v>
      </c>
      <c r="I6" s="3">
        <v>62</v>
      </c>
      <c r="J6" s="3">
        <v>2.5</v>
      </c>
      <c r="K6" s="3">
        <v>90.9</v>
      </c>
      <c r="L6" s="3">
        <v>5.2</v>
      </c>
      <c r="M6" s="3">
        <v>45.9</v>
      </c>
      <c r="N6" s="3">
        <v>38.200000000000003</v>
      </c>
      <c r="O6" s="3">
        <v>106.3</v>
      </c>
      <c r="P6" s="3">
        <v>1519</v>
      </c>
      <c r="Q6" s="3">
        <v>43.2</v>
      </c>
      <c r="R6" s="3">
        <v>53.2</v>
      </c>
      <c r="S6" s="3">
        <v>56.9</v>
      </c>
      <c r="T6" s="3">
        <v>7.6</v>
      </c>
      <c r="U6" s="3">
        <v>30.8</v>
      </c>
      <c r="V6" s="3">
        <v>31.5</v>
      </c>
      <c r="W6" s="27">
        <v>1572</v>
      </c>
      <c r="X6" s="3">
        <v>1479</v>
      </c>
      <c r="Y6" s="3">
        <v>31.2</v>
      </c>
    </row>
    <row r="7" spans="1:25" ht="15.75" x14ac:dyDescent="0.25">
      <c r="A7" s="18" t="s">
        <v>51</v>
      </c>
      <c r="B7" s="3">
        <v>245</v>
      </c>
      <c r="C7" s="3">
        <v>123</v>
      </c>
      <c r="D7" s="3">
        <v>67.599999999999994</v>
      </c>
      <c r="E7" s="3">
        <v>27.2</v>
      </c>
      <c r="F7" s="3">
        <v>110.3</v>
      </c>
      <c r="G7" s="3">
        <v>0.18</v>
      </c>
      <c r="H7" s="3">
        <v>41.6</v>
      </c>
      <c r="I7" s="3">
        <v>58.4</v>
      </c>
      <c r="J7" s="3">
        <v>2.7</v>
      </c>
      <c r="K7" s="3">
        <v>83.7</v>
      </c>
      <c r="L7" s="3">
        <v>6.6</v>
      </c>
      <c r="M7" s="3">
        <v>17.3</v>
      </c>
      <c r="N7" s="3">
        <v>25.4</v>
      </c>
      <c r="O7" s="3">
        <v>114</v>
      </c>
      <c r="P7" s="3">
        <v>1193</v>
      </c>
      <c r="Q7" s="3">
        <v>60.5</v>
      </c>
      <c r="R7" s="3">
        <v>53.1</v>
      </c>
      <c r="S7" s="3">
        <v>70.5</v>
      </c>
      <c r="T7" s="3">
        <v>7.7</v>
      </c>
      <c r="U7" s="3">
        <v>34.9</v>
      </c>
      <c r="V7" s="3">
        <v>38.299999999999997</v>
      </c>
      <c r="W7" s="27">
        <v>1278</v>
      </c>
      <c r="X7" s="3">
        <v>1121</v>
      </c>
      <c r="Y7" s="3">
        <v>14.1</v>
      </c>
    </row>
    <row r="8" spans="1:25" ht="15.75" x14ac:dyDescent="0.25">
      <c r="A8" s="18" t="s">
        <v>56</v>
      </c>
      <c r="B8" s="3">
        <v>93</v>
      </c>
      <c r="C8" s="3">
        <v>42</v>
      </c>
      <c r="D8" s="3">
        <v>59.2</v>
      </c>
      <c r="E8" s="3">
        <v>27</v>
      </c>
      <c r="F8" s="3">
        <v>110.3</v>
      </c>
      <c r="G8" s="3">
        <v>0.11</v>
      </c>
      <c r="H8" s="3">
        <v>18.3</v>
      </c>
      <c r="I8" s="3">
        <v>81.7</v>
      </c>
      <c r="J8" s="3">
        <v>2.5</v>
      </c>
      <c r="K8" s="3">
        <v>73.8</v>
      </c>
      <c r="L8" s="3">
        <v>8.3000000000000007</v>
      </c>
      <c r="M8" s="3">
        <v>16.7</v>
      </c>
      <c r="N8" s="3">
        <v>35.5</v>
      </c>
      <c r="O8" s="3">
        <v>244.5</v>
      </c>
      <c r="P8" s="3">
        <v>1442</v>
      </c>
      <c r="Q8" s="3">
        <v>27.8</v>
      </c>
      <c r="R8" s="3">
        <v>38.9</v>
      </c>
      <c r="S8" s="3">
        <v>31.3</v>
      </c>
      <c r="T8" s="3">
        <v>7.4</v>
      </c>
      <c r="U8" s="3">
        <v>47.6</v>
      </c>
      <c r="V8" s="3">
        <v>16.7</v>
      </c>
      <c r="W8" s="27">
        <v>3250</v>
      </c>
      <c r="X8" s="3">
        <v>1329</v>
      </c>
      <c r="Y8" s="3">
        <v>25</v>
      </c>
    </row>
    <row r="9" spans="1:25" ht="15.75" x14ac:dyDescent="0.25">
      <c r="A9" s="18" t="s">
        <v>57</v>
      </c>
      <c r="B9" s="3">
        <v>89</v>
      </c>
      <c r="C9" s="3">
        <v>42</v>
      </c>
      <c r="D9" s="3">
        <v>61.8</v>
      </c>
      <c r="E9" s="3">
        <v>26.6</v>
      </c>
      <c r="F9" s="3">
        <v>108.9</v>
      </c>
      <c r="G9" s="3">
        <v>0.18</v>
      </c>
      <c r="H9" s="3">
        <v>50.6</v>
      </c>
      <c r="I9" s="3">
        <v>49.4</v>
      </c>
      <c r="J9" s="3">
        <v>2.6</v>
      </c>
      <c r="K9" s="3">
        <v>88.1</v>
      </c>
      <c r="L9" s="3">
        <v>4.8</v>
      </c>
      <c r="M9" s="3">
        <v>50</v>
      </c>
      <c r="N9" s="3">
        <v>32.4</v>
      </c>
      <c r="O9" s="3">
        <v>93.1</v>
      </c>
      <c r="P9" s="3">
        <v>1491</v>
      </c>
      <c r="Q9" s="3">
        <v>35.700000000000003</v>
      </c>
      <c r="R9" s="3">
        <v>35.700000000000003</v>
      </c>
      <c r="S9" s="3">
        <v>46.2</v>
      </c>
      <c r="T9" s="3">
        <v>7.8</v>
      </c>
      <c r="U9" s="3">
        <v>10.5</v>
      </c>
      <c r="V9" s="3">
        <v>42.9</v>
      </c>
      <c r="W9" s="27">
        <v>1426</v>
      </c>
      <c r="X9" s="3">
        <v>1532</v>
      </c>
      <c r="Y9" s="3">
        <v>23.1</v>
      </c>
    </row>
    <row r="10" spans="1:25" ht="15.75" x14ac:dyDescent="0.25">
      <c r="A10" s="19" t="s">
        <v>37</v>
      </c>
      <c r="B10" s="3">
        <v>840</v>
      </c>
      <c r="C10" s="3">
        <v>360</v>
      </c>
      <c r="D10" s="3">
        <v>63.5</v>
      </c>
      <c r="E10" s="3">
        <v>27.2</v>
      </c>
      <c r="F10" s="3">
        <v>108</v>
      </c>
      <c r="G10" s="3">
        <v>0.31</v>
      </c>
      <c r="H10" s="3">
        <v>81.900000000000006</v>
      </c>
      <c r="I10" s="3">
        <v>18.100000000000001</v>
      </c>
      <c r="J10" s="3">
        <v>2.9</v>
      </c>
      <c r="K10" s="3">
        <v>97.2</v>
      </c>
      <c r="L10" s="3">
        <v>1.9</v>
      </c>
      <c r="M10" s="3">
        <v>77.2</v>
      </c>
      <c r="N10" s="3">
        <v>40.9</v>
      </c>
      <c r="O10" s="3">
        <v>110.9</v>
      </c>
      <c r="P10" s="3">
        <v>1873</v>
      </c>
      <c r="Q10" s="3">
        <v>63.2</v>
      </c>
      <c r="R10" s="3">
        <v>71.599999999999994</v>
      </c>
      <c r="S10" s="3">
        <v>66</v>
      </c>
      <c r="T10" s="3">
        <v>7.8</v>
      </c>
      <c r="U10" s="3">
        <v>13.4</v>
      </c>
      <c r="V10" s="3">
        <v>79.599999999999994</v>
      </c>
      <c r="W10" s="27">
        <v>1902</v>
      </c>
      <c r="X10" s="3">
        <v>1715</v>
      </c>
      <c r="Y10" s="3">
        <v>29.8</v>
      </c>
    </row>
    <row r="11" spans="1:25" ht="15.75" x14ac:dyDescent="0.25">
      <c r="A11" s="19" t="s">
        <v>40</v>
      </c>
      <c r="B11" s="3">
        <v>660</v>
      </c>
      <c r="C11" s="3">
        <v>369</v>
      </c>
      <c r="D11" s="3">
        <v>70.3</v>
      </c>
      <c r="E11" s="3">
        <v>27</v>
      </c>
      <c r="F11" s="3">
        <v>108.8</v>
      </c>
      <c r="G11" s="3">
        <v>0.2</v>
      </c>
      <c r="H11" s="3">
        <v>63.6</v>
      </c>
      <c r="I11" s="3">
        <v>36.4</v>
      </c>
      <c r="J11" s="3">
        <v>2.7</v>
      </c>
      <c r="K11" s="3">
        <v>84.3</v>
      </c>
      <c r="L11" s="3">
        <v>5.4</v>
      </c>
      <c r="M11" s="3">
        <v>35.299999999999997</v>
      </c>
      <c r="N11" s="3">
        <v>37.700000000000003</v>
      </c>
      <c r="O11" s="3">
        <v>108.7</v>
      </c>
      <c r="P11" s="3">
        <v>1407</v>
      </c>
      <c r="Q11" s="3">
        <v>48.2</v>
      </c>
      <c r="R11" s="3">
        <v>50</v>
      </c>
      <c r="S11" s="3">
        <v>64.099999999999994</v>
      </c>
      <c r="T11" s="3">
        <v>7.8</v>
      </c>
      <c r="U11" s="3">
        <v>26.4</v>
      </c>
      <c r="V11" s="3">
        <v>38.4</v>
      </c>
      <c r="W11" s="27">
        <v>1443</v>
      </c>
      <c r="X11" s="3">
        <v>1328</v>
      </c>
      <c r="Y11" s="3">
        <v>25.9</v>
      </c>
    </row>
    <row r="12" spans="1:25" ht="15.75" x14ac:dyDescent="0.25">
      <c r="A12" s="19" t="s">
        <v>48</v>
      </c>
      <c r="B12" s="3">
        <v>388</v>
      </c>
      <c r="C12" s="3">
        <v>187</v>
      </c>
      <c r="D12" s="3">
        <v>63.6</v>
      </c>
      <c r="E12" s="3">
        <v>27.4</v>
      </c>
      <c r="F12" s="3">
        <v>110</v>
      </c>
      <c r="G12" s="3">
        <v>0.15</v>
      </c>
      <c r="H12" s="3">
        <v>47.2</v>
      </c>
      <c r="I12" s="3">
        <v>52.8</v>
      </c>
      <c r="J12" s="3">
        <v>2.6</v>
      </c>
      <c r="K12" s="3">
        <v>87.2</v>
      </c>
      <c r="L12" s="3">
        <v>4.5999999999999996</v>
      </c>
      <c r="M12" s="3">
        <v>38</v>
      </c>
      <c r="N12" s="3">
        <v>34.5</v>
      </c>
      <c r="O12" s="3">
        <v>112.8</v>
      </c>
      <c r="P12" s="3">
        <v>1387</v>
      </c>
      <c r="Q12" s="3">
        <v>44.2</v>
      </c>
      <c r="R12" s="3">
        <v>55.8</v>
      </c>
      <c r="S12" s="3">
        <v>58.7</v>
      </c>
      <c r="T12" s="3">
        <v>7.7</v>
      </c>
      <c r="U12" s="3">
        <v>23.3</v>
      </c>
      <c r="V12" s="3">
        <v>34.9</v>
      </c>
      <c r="W12" s="27">
        <v>1471</v>
      </c>
      <c r="X12" s="3">
        <v>1304</v>
      </c>
      <c r="Y12" s="3">
        <v>27</v>
      </c>
    </row>
    <row r="13" spans="1:25" ht="15.75" x14ac:dyDescent="0.25">
      <c r="A13" s="19" t="s">
        <v>50</v>
      </c>
      <c r="B13" s="3">
        <v>283</v>
      </c>
      <c r="C13" s="3">
        <v>144</v>
      </c>
      <c r="D13" s="3">
        <v>72</v>
      </c>
      <c r="E13" s="3">
        <v>26.1</v>
      </c>
      <c r="F13" s="3">
        <v>107.8</v>
      </c>
      <c r="G13" s="3">
        <v>0.16</v>
      </c>
      <c r="H13" s="3">
        <v>61.1</v>
      </c>
      <c r="I13" s="3">
        <v>38.9</v>
      </c>
      <c r="J13" s="3">
        <v>2.5</v>
      </c>
      <c r="K13" s="3">
        <v>91.7</v>
      </c>
      <c r="L13" s="3">
        <v>4.0999999999999996</v>
      </c>
      <c r="M13" s="3">
        <v>62.2</v>
      </c>
      <c r="N13" s="3">
        <v>40.700000000000003</v>
      </c>
      <c r="O13" s="3">
        <v>94</v>
      </c>
      <c r="P13" s="3">
        <v>1529</v>
      </c>
      <c r="Q13" s="3">
        <v>55.6</v>
      </c>
      <c r="R13" s="3">
        <v>65.599999999999994</v>
      </c>
      <c r="S13" s="3">
        <v>61.8</v>
      </c>
      <c r="T13" s="3">
        <v>7.6</v>
      </c>
      <c r="U13" s="3">
        <v>27.4</v>
      </c>
      <c r="V13" s="3">
        <v>26.7</v>
      </c>
      <c r="W13" s="27">
        <v>1488</v>
      </c>
      <c r="X13" s="3">
        <v>1583</v>
      </c>
      <c r="Y13" s="3">
        <v>30.3</v>
      </c>
    </row>
    <row r="14" spans="1:25" ht="15.75" x14ac:dyDescent="0.25">
      <c r="A14" s="19" t="s">
        <v>45</v>
      </c>
      <c r="B14" s="3">
        <v>432</v>
      </c>
      <c r="C14" s="3">
        <v>253</v>
      </c>
      <c r="D14" s="3">
        <v>73.5</v>
      </c>
      <c r="E14" s="3">
        <v>26.4</v>
      </c>
      <c r="F14" s="3">
        <v>105.5</v>
      </c>
      <c r="G14" s="3">
        <v>0.21</v>
      </c>
      <c r="H14" s="3">
        <v>51.2</v>
      </c>
      <c r="I14" s="3">
        <v>48.8</v>
      </c>
      <c r="J14" s="3">
        <v>2.7</v>
      </c>
      <c r="K14" s="3">
        <v>97.2</v>
      </c>
      <c r="L14" s="3">
        <v>2.2000000000000002</v>
      </c>
      <c r="M14" s="3">
        <v>76.400000000000006</v>
      </c>
      <c r="N14" s="3">
        <v>40.700000000000003</v>
      </c>
      <c r="O14" s="3">
        <v>108.8</v>
      </c>
      <c r="P14" s="3">
        <v>1652</v>
      </c>
      <c r="Q14" s="3">
        <v>44.1</v>
      </c>
      <c r="R14" s="3">
        <v>57.7</v>
      </c>
      <c r="S14" s="3">
        <v>51.4</v>
      </c>
      <c r="T14" s="3">
        <v>7.6</v>
      </c>
      <c r="U14" s="3">
        <v>20.9</v>
      </c>
      <c r="V14" s="3">
        <v>76.400000000000006</v>
      </c>
      <c r="W14" s="27">
        <v>1722</v>
      </c>
      <c r="X14" s="3">
        <v>1583</v>
      </c>
      <c r="Y14" s="3">
        <v>40.700000000000003</v>
      </c>
    </row>
    <row r="15" spans="1:25" ht="15.75" x14ac:dyDescent="0.25">
      <c r="A15" s="19" t="s">
        <v>52</v>
      </c>
      <c r="B15" s="3">
        <v>210</v>
      </c>
      <c r="C15" s="3">
        <v>143</v>
      </c>
      <c r="D15" s="3">
        <v>85.1</v>
      </c>
      <c r="E15" s="3">
        <v>26.9</v>
      </c>
      <c r="F15" s="3">
        <v>107.4</v>
      </c>
      <c r="G15" s="3">
        <v>0.36</v>
      </c>
      <c r="H15" s="3">
        <v>57.1</v>
      </c>
      <c r="I15" s="3">
        <v>42.9</v>
      </c>
      <c r="J15" s="3">
        <v>3</v>
      </c>
      <c r="K15" s="3">
        <v>94.4</v>
      </c>
      <c r="L15" s="3">
        <v>2.6</v>
      </c>
      <c r="M15" s="3">
        <v>76.3</v>
      </c>
      <c r="N15" s="3">
        <v>41.1</v>
      </c>
      <c r="O15" s="3">
        <v>107.1</v>
      </c>
      <c r="P15" s="3">
        <v>1757</v>
      </c>
      <c r="Q15" s="3">
        <v>52.6</v>
      </c>
      <c r="R15" s="3">
        <v>57.8</v>
      </c>
      <c r="S15" s="3">
        <v>60.6</v>
      </c>
      <c r="T15" s="3">
        <v>7.7</v>
      </c>
      <c r="U15" s="3">
        <v>15.6</v>
      </c>
      <c r="V15" s="3">
        <v>74.8</v>
      </c>
      <c r="W15" s="27">
        <v>1809</v>
      </c>
      <c r="X15" s="3">
        <v>1689</v>
      </c>
      <c r="Y15" s="3">
        <v>28.8</v>
      </c>
    </row>
    <row r="16" spans="1:25" ht="15.75" x14ac:dyDescent="0.25">
      <c r="A16" s="20" t="s">
        <v>23</v>
      </c>
      <c r="B16" s="3">
        <v>2687</v>
      </c>
      <c r="C16" s="3">
        <v>1398</v>
      </c>
      <c r="D16" s="3">
        <v>70.599999999999994</v>
      </c>
      <c r="E16" s="3">
        <v>26.7</v>
      </c>
      <c r="F16" s="3">
        <v>106.8</v>
      </c>
      <c r="G16" s="3">
        <v>0.28000000000000003</v>
      </c>
      <c r="H16" s="3">
        <v>88.7</v>
      </c>
      <c r="I16" s="3">
        <v>11.3</v>
      </c>
      <c r="J16" s="3">
        <v>2.9</v>
      </c>
      <c r="K16" s="3">
        <v>96.9</v>
      </c>
      <c r="L16" s="3">
        <v>2.1</v>
      </c>
      <c r="M16" s="3">
        <v>79</v>
      </c>
      <c r="N16" s="3">
        <v>42.9</v>
      </c>
      <c r="O16" s="3">
        <v>103</v>
      </c>
      <c r="P16" s="3">
        <v>1773</v>
      </c>
      <c r="Q16" s="3">
        <v>53.9</v>
      </c>
      <c r="R16" s="3">
        <v>69</v>
      </c>
      <c r="S16" s="3">
        <v>63</v>
      </c>
      <c r="T16" s="3">
        <v>7.7</v>
      </c>
      <c r="U16" s="3">
        <v>20.5</v>
      </c>
      <c r="V16" s="3">
        <v>46.8</v>
      </c>
      <c r="W16" s="27">
        <v>1778</v>
      </c>
      <c r="X16" s="3">
        <v>1731</v>
      </c>
      <c r="Y16" s="3">
        <v>33.799999999999997</v>
      </c>
    </row>
    <row r="17" spans="1:25" ht="15.75" x14ac:dyDescent="0.25">
      <c r="A17" s="20" t="s">
        <v>28</v>
      </c>
      <c r="B17" s="3">
        <v>2336</v>
      </c>
      <c r="C17" s="3">
        <v>1305</v>
      </c>
      <c r="D17" s="3">
        <v>73.900000000000006</v>
      </c>
      <c r="E17" s="3">
        <v>27.5</v>
      </c>
      <c r="F17" s="3">
        <v>106.4</v>
      </c>
      <c r="G17" s="3">
        <v>0.4</v>
      </c>
      <c r="H17" s="3">
        <v>70.2</v>
      </c>
      <c r="I17" s="3">
        <v>29.8</v>
      </c>
      <c r="J17" s="3">
        <v>3.2</v>
      </c>
      <c r="K17" s="3">
        <v>95.1</v>
      </c>
      <c r="L17" s="3">
        <v>3.1</v>
      </c>
      <c r="M17" s="3">
        <v>44</v>
      </c>
      <c r="N17" s="3">
        <v>42.5</v>
      </c>
      <c r="O17" s="3">
        <v>104.1</v>
      </c>
      <c r="P17" s="3">
        <v>1646</v>
      </c>
      <c r="Q17" s="3">
        <v>61.9</v>
      </c>
      <c r="R17" s="3">
        <v>64.5</v>
      </c>
      <c r="S17" s="3">
        <v>73.2</v>
      </c>
      <c r="T17" s="3">
        <v>7.9</v>
      </c>
      <c r="U17" s="3">
        <v>21.2</v>
      </c>
      <c r="V17" s="3">
        <v>38.6</v>
      </c>
      <c r="W17" s="27">
        <v>1664</v>
      </c>
      <c r="X17" s="3">
        <v>1599</v>
      </c>
      <c r="Y17" s="3">
        <v>22.7</v>
      </c>
    </row>
    <row r="18" spans="1:25" ht="15.75" x14ac:dyDescent="0.25">
      <c r="A18" s="20" t="s">
        <v>29</v>
      </c>
      <c r="B18" s="3">
        <v>2151</v>
      </c>
      <c r="C18" s="3">
        <v>1149</v>
      </c>
      <c r="D18" s="3">
        <v>70.5</v>
      </c>
      <c r="E18" s="3">
        <v>26.4</v>
      </c>
      <c r="F18" s="3">
        <v>105.4</v>
      </c>
      <c r="G18" s="3">
        <v>0.21</v>
      </c>
      <c r="H18" s="3">
        <v>60.3</v>
      </c>
      <c r="I18" s="3">
        <v>39.700000000000003</v>
      </c>
      <c r="J18" s="3">
        <v>2.7</v>
      </c>
      <c r="K18" s="3">
        <v>95</v>
      </c>
      <c r="L18" s="3">
        <v>2</v>
      </c>
      <c r="M18" s="3">
        <v>80.8</v>
      </c>
      <c r="N18" s="3">
        <v>42.6</v>
      </c>
      <c r="O18" s="3">
        <v>106</v>
      </c>
      <c r="P18" s="3">
        <v>1743</v>
      </c>
      <c r="Q18" s="3">
        <v>53.3</v>
      </c>
      <c r="R18" s="3">
        <v>66.7</v>
      </c>
      <c r="S18" s="3">
        <v>60.1</v>
      </c>
      <c r="T18" s="3">
        <v>7.8</v>
      </c>
      <c r="U18" s="3">
        <v>20.2</v>
      </c>
      <c r="V18" s="3">
        <v>65.8</v>
      </c>
      <c r="W18" s="27">
        <v>1780</v>
      </c>
      <c r="X18" s="3">
        <v>1679</v>
      </c>
      <c r="Y18" s="3">
        <v>36.799999999999997</v>
      </c>
    </row>
    <row r="19" spans="1:25" ht="15.75" x14ac:dyDescent="0.25">
      <c r="A19" s="20" t="s">
        <v>30</v>
      </c>
      <c r="B19" s="3">
        <v>1676</v>
      </c>
      <c r="C19" s="3">
        <v>787</v>
      </c>
      <c r="D19" s="3">
        <v>62.5</v>
      </c>
      <c r="E19" s="3">
        <v>27.4</v>
      </c>
      <c r="F19" s="3">
        <v>108.3</v>
      </c>
      <c r="G19" s="3">
        <v>0.35</v>
      </c>
      <c r="H19" s="3">
        <v>45.4</v>
      </c>
      <c r="I19" s="3">
        <v>54.6</v>
      </c>
      <c r="J19" s="3">
        <v>3.1</v>
      </c>
      <c r="K19" s="3">
        <v>89.8</v>
      </c>
      <c r="L19" s="3">
        <v>4</v>
      </c>
      <c r="M19" s="3">
        <v>21.3</v>
      </c>
      <c r="N19" s="3">
        <v>41.5</v>
      </c>
      <c r="O19" s="3">
        <v>116.5</v>
      </c>
      <c r="P19" s="3">
        <v>1472</v>
      </c>
      <c r="Q19" s="3">
        <v>56.3</v>
      </c>
      <c r="R19" s="3">
        <v>54.7</v>
      </c>
      <c r="S19" s="3">
        <v>74.7</v>
      </c>
      <c r="T19" s="3">
        <v>7.7</v>
      </c>
      <c r="U19" s="3">
        <v>13.9</v>
      </c>
      <c r="V19" s="3">
        <v>33.799999999999997</v>
      </c>
      <c r="W19" s="27">
        <v>1593</v>
      </c>
      <c r="X19" s="3">
        <v>1367</v>
      </c>
      <c r="Y19" s="3">
        <v>18.600000000000001</v>
      </c>
    </row>
    <row r="20" spans="1:25" ht="15.75" x14ac:dyDescent="0.25">
      <c r="A20" s="20" t="s">
        <v>25</v>
      </c>
      <c r="B20" s="3">
        <v>1417</v>
      </c>
      <c r="C20" s="3">
        <v>713</v>
      </c>
      <c r="D20" s="3">
        <v>69.5</v>
      </c>
      <c r="E20" s="3">
        <v>26.7</v>
      </c>
      <c r="F20" s="3">
        <v>107.5</v>
      </c>
      <c r="G20" s="3">
        <v>0.33</v>
      </c>
      <c r="H20" s="3">
        <v>86.2</v>
      </c>
      <c r="I20" s="3">
        <v>13.8</v>
      </c>
      <c r="J20" s="3">
        <v>3</v>
      </c>
      <c r="K20" s="3">
        <v>97.1</v>
      </c>
      <c r="L20" s="3">
        <v>1.6</v>
      </c>
      <c r="M20" s="3">
        <v>79.7</v>
      </c>
      <c r="N20" s="3">
        <v>41.4</v>
      </c>
      <c r="O20" s="3">
        <v>108.3</v>
      </c>
      <c r="P20" s="3">
        <v>1833</v>
      </c>
      <c r="Q20" s="3">
        <v>65.400000000000006</v>
      </c>
      <c r="R20" s="3">
        <v>71.8</v>
      </c>
      <c r="S20" s="3">
        <v>69.900000000000006</v>
      </c>
      <c r="T20" s="3">
        <v>7.9</v>
      </c>
      <c r="U20" s="3">
        <v>13</v>
      </c>
      <c r="V20" s="3">
        <v>78.7</v>
      </c>
      <c r="W20" s="27">
        <v>1852</v>
      </c>
      <c r="X20" s="3">
        <v>1710</v>
      </c>
      <c r="Y20" s="3">
        <v>26.9</v>
      </c>
    </row>
    <row r="21" spans="1:25" ht="15.75" x14ac:dyDescent="0.25">
      <c r="A21" s="20" t="s">
        <v>35</v>
      </c>
      <c r="B21" s="3">
        <v>900</v>
      </c>
      <c r="C21" s="3">
        <v>476</v>
      </c>
      <c r="D21" s="3">
        <v>69.7</v>
      </c>
      <c r="E21" s="3">
        <v>27.4</v>
      </c>
      <c r="F21" s="3">
        <v>106.5</v>
      </c>
      <c r="G21" s="3">
        <v>0.27</v>
      </c>
      <c r="H21" s="3">
        <v>60</v>
      </c>
      <c r="I21" s="3">
        <v>40</v>
      </c>
      <c r="J21" s="3">
        <v>2.9</v>
      </c>
      <c r="K21" s="3">
        <v>93.3</v>
      </c>
      <c r="L21" s="3">
        <v>3.6</v>
      </c>
      <c r="M21" s="3">
        <v>50.6</v>
      </c>
      <c r="N21" s="3">
        <v>41.1</v>
      </c>
      <c r="O21" s="3">
        <v>106</v>
      </c>
      <c r="P21" s="3">
        <v>1567</v>
      </c>
      <c r="Q21" s="3">
        <v>50.6</v>
      </c>
      <c r="R21" s="3">
        <v>63.5</v>
      </c>
      <c r="S21" s="3">
        <v>63.6</v>
      </c>
      <c r="T21" s="3">
        <v>7.8</v>
      </c>
      <c r="U21" s="3">
        <v>21.5</v>
      </c>
      <c r="V21" s="3">
        <v>46.8</v>
      </c>
      <c r="W21" s="27">
        <v>1598</v>
      </c>
      <c r="X21" s="3">
        <v>1510</v>
      </c>
      <c r="Y21" s="3">
        <v>30.1</v>
      </c>
    </row>
    <row r="22" spans="1:25" ht="15.75" x14ac:dyDescent="0.25">
      <c r="A22" s="20" t="s">
        <v>36</v>
      </c>
      <c r="B22" s="3">
        <v>854</v>
      </c>
      <c r="C22" s="3">
        <v>443</v>
      </c>
      <c r="D22" s="3">
        <v>71.3</v>
      </c>
      <c r="E22" s="3">
        <v>26.6</v>
      </c>
      <c r="F22" s="3">
        <v>107</v>
      </c>
      <c r="G22" s="3">
        <v>0.28000000000000003</v>
      </c>
      <c r="H22" s="3">
        <v>41.7</v>
      </c>
      <c r="I22" s="3">
        <v>58.3</v>
      </c>
      <c r="J22" s="3">
        <v>2.9</v>
      </c>
      <c r="K22" s="3">
        <v>94.6</v>
      </c>
      <c r="L22" s="3">
        <v>2.9</v>
      </c>
      <c r="M22" s="3">
        <v>70.3</v>
      </c>
      <c r="N22" s="3">
        <v>41.9</v>
      </c>
      <c r="O22" s="3">
        <v>105</v>
      </c>
      <c r="P22" s="3">
        <v>1657</v>
      </c>
      <c r="Q22" s="3">
        <v>36.299999999999997</v>
      </c>
      <c r="R22" s="3">
        <v>49.1</v>
      </c>
      <c r="S22" s="3">
        <v>47.6</v>
      </c>
      <c r="T22" s="3">
        <v>7.6</v>
      </c>
      <c r="U22" s="3">
        <v>20.3</v>
      </c>
      <c r="V22" s="3">
        <v>61</v>
      </c>
      <c r="W22" s="27">
        <v>1703</v>
      </c>
      <c r="X22" s="3">
        <v>1622</v>
      </c>
      <c r="Y22" s="3">
        <v>43.3</v>
      </c>
    </row>
    <row r="23" spans="1:25" ht="15.75" x14ac:dyDescent="0.25">
      <c r="A23" s="20" t="s">
        <v>38</v>
      </c>
      <c r="B23" s="3">
        <v>833</v>
      </c>
      <c r="C23" s="3">
        <v>413</v>
      </c>
      <c r="D23" s="3">
        <v>66.599999999999994</v>
      </c>
      <c r="E23" s="3">
        <v>26.7</v>
      </c>
      <c r="F23" s="3">
        <v>107.9</v>
      </c>
      <c r="G23" s="3">
        <v>0.34</v>
      </c>
      <c r="H23" s="3">
        <v>85.1</v>
      </c>
      <c r="I23" s="3">
        <v>14.9</v>
      </c>
      <c r="J23" s="3">
        <v>3</v>
      </c>
      <c r="K23" s="3">
        <v>96.9</v>
      </c>
      <c r="L23" s="3">
        <v>1.8</v>
      </c>
      <c r="M23" s="3">
        <v>83.3</v>
      </c>
      <c r="N23" s="3">
        <v>41.6</v>
      </c>
      <c r="O23" s="3">
        <v>102.7</v>
      </c>
      <c r="P23" s="3">
        <v>1838</v>
      </c>
      <c r="Q23" s="3">
        <v>58.2</v>
      </c>
      <c r="R23" s="3">
        <v>71.8</v>
      </c>
      <c r="S23" s="3">
        <v>68.7</v>
      </c>
      <c r="T23" s="3">
        <v>7.9</v>
      </c>
      <c r="U23" s="3">
        <v>16.7</v>
      </c>
      <c r="V23" s="3">
        <v>59.4</v>
      </c>
      <c r="W23" s="27">
        <v>1843</v>
      </c>
      <c r="X23" s="3">
        <v>1795</v>
      </c>
      <c r="Y23" s="3">
        <v>27.3</v>
      </c>
    </row>
    <row r="24" spans="1:25" ht="15.75" x14ac:dyDescent="0.25">
      <c r="A24" s="20" t="s">
        <v>39</v>
      </c>
      <c r="B24" s="3">
        <v>804</v>
      </c>
      <c r="C24" s="3">
        <v>431</v>
      </c>
      <c r="D24" s="3">
        <v>71.7</v>
      </c>
      <c r="E24" s="3">
        <v>26.4</v>
      </c>
      <c r="F24" s="3">
        <v>105.5</v>
      </c>
      <c r="G24" s="3">
        <v>0.27</v>
      </c>
      <c r="H24" s="3">
        <v>76.7</v>
      </c>
      <c r="I24" s="3">
        <v>23.3</v>
      </c>
      <c r="J24" s="3">
        <v>2.9</v>
      </c>
      <c r="K24" s="3">
        <v>97.7</v>
      </c>
      <c r="L24" s="3">
        <v>2.8</v>
      </c>
      <c r="M24" s="3">
        <v>67.7</v>
      </c>
      <c r="N24" s="3">
        <v>42</v>
      </c>
      <c r="O24" s="3">
        <v>103</v>
      </c>
      <c r="P24" s="3">
        <v>1697</v>
      </c>
      <c r="Q24" s="3">
        <v>55.5</v>
      </c>
      <c r="R24" s="3">
        <v>64.5</v>
      </c>
      <c r="S24" s="3">
        <v>63.4</v>
      </c>
      <c r="T24" s="3">
        <v>7.7</v>
      </c>
      <c r="U24" s="3">
        <v>17.3</v>
      </c>
      <c r="V24" s="3">
        <v>55.5</v>
      </c>
      <c r="W24" s="27">
        <v>1706</v>
      </c>
      <c r="X24" s="3">
        <v>1658</v>
      </c>
      <c r="Y24" s="3">
        <v>33.299999999999997</v>
      </c>
    </row>
    <row r="25" spans="1:25" ht="15.75" x14ac:dyDescent="0.25">
      <c r="A25" s="20" t="s">
        <v>26</v>
      </c>
      <c r="B25" s="3">
        <v>683</v>
      </c>
      <c r="C25" s="3">
        <v>350</v>
      </c>
      <c r="D25" s="3">
        <v>64.099999999999994</v>
      </c>
      <c r="E25" s="3">
        <v>28</v>
      </c>
      <c r="F25" s="3">
        <v>107.2</v>
      </c>
      <c r="G25" s="3">
        <v>0.33</v>
      </c>
      <c r="H25" s="3">
        <v>57.7</v>
      </c>
      <c r="I25" s="3">
        <v>42.3</v>
      </c>
      <c r="J25" s="3">
        <v>3.1</v>
      </c>
      <c r="K25" s="3">
        <v>94.6</v>
      </c>
      <c r="L25" s="3">
        <v>3</v>
      </c>
      <c r="M25" s="3">
        <v>34.799999999999997</v>
      </c>
      <c r="N25" s="3">
        <v>42</v>
      </c>
      <c r="O25" s="3">
        <v>103</v>
      </c>
      <c r="P25" s="3">
        <v>1586</v>
      </c>
      <c r="Q25" s="3">
        <v>64.599999999999994</v>
      </c>
      <c r="R25" s="3">
        <v>66.8</v>
      </c>
      <c r="S25" s="3">
        <v>81.8</v>
      </c>
      <c r="T25" s="3">
        <v>8</v>
      </c>
      <c r="U25" s="3">
        <v>18.100000000000001</v>
      </c>
      <c r="V25" s="3">
        <v>35.700000000000003</v>
      </c>
      <c r="W25" s="27">
        <v>1605</v>
      </c>
      <c r="X25" s="3">
        <v>1559</v>
      </c>
      <c r="Y25" s="3">
        <v>16</v>
      </c>
    </row>
    <row r="26" spans="1:25" ht="15.75" x14ac:dyDescent="0.25">
      <c r="A26" s="20" t="s">
        <v>41</v>
      </c>
      <c r="B26" s="3">
        <v>624</v>
      </c>
      <c r="C26" s="3">
        <v>344</v>
      </c>
      <c r="D26" s="3">
        <v>72.7</v>
      </c>
      <c r="E26" s="3">
        <v>26.4</v>
      </c>
      <c r="F26" s="3">
        <v>106.8</v>
      </c>
      <c r="G26" s="3">
        <v>0.26</v>
      </c>
      <c r="H26" s="3">
        <v>55.8</v>
      </c>
      <c r="I26" s="3">
        <v>44.2</v>
      </c>
      <c r="J26" s="3">
        <v>2.9</v>
      </c>
      <c r="K26" s="3">
        <v>94.8</v>
      </c>
      <c r="L26" s="3">
        <v>2.9</v>
      </c>
      <c r="M26" s="3">
        <v>74.099999999999994</v>
      </c>
      <c r="N26" s="3">
        <v>41.7</v>
      </c>
      <c r="O26" s="3">
        <v>96.7</v>
      </c>
      <c r="P26" s="3">
        <v>1720</v>
      </c>
      <c r="Q26" s="3">
        <v>50</v>
      </c>
      <c r="R26" s="3">
        <v>64.099999999999994</v>
      </c>
      <c r="S26" s="3">
        <v>64.900000000000006</v>
      </c>
      <c r="T26" s="3">
        <v>7.8</v>
      </c>
      <c r="U26" s="3">
        <v>18.399999999999999</v>
      </c>
      <c r="V26" s="3">
        <v>54.1</v>
      </c>
      <c r="W26" s="27">
        <v>1695</v>
      </c>
      <c r="X26" s="3">
        <v>1753</v>
      </c>
      <c r="Y26" s="3">
        <v>30.9</v>
      </c>
    </row>
    <row r="27" spans="1:25" ht="15.75" x14ac:dyDescent="0.25">
      <c r="A27" s="20" t="s">
        <v>42</v>
      </c>
      <c r="B27" s="3">
        <v>585</v>
      </c>
      <c r="C27" s="3">
        <v>305</v>
      </c>
      <c r="D27" s="3">
        <v>67.900000000000006</v>
      </c>
      <c r="E27" s="3">
        <v>26.5</v>
      </c>
      <c r="F27" s="3">
        <v>105.6</v>
      </c>
      <c r="G27" s="3">
        <v>0.41</v>
      </c>
      <c r="H27" s="3">
        <v>88</v>
      </c>
      <c r="I27" s="3">
        <v>12</v>
      </c>
      <c r="J27" s="3">
        <v>3.2</v>
      </c>
      <c r="K27" s="3">
        <v>94.1</v>
      </c>
      <c r="L27" s="3">
        <v>2.7</v>
      </c>
      <c r="M27" s="3">
        <v>86.3</v>
      </c>
      <c r="N27" s="3">
        <v>43</v>
      </c>
      <c r="O27" s="3">
        <v>100.2</v>
      </c>
      <c r="P27" s="3">
        <v>1822</v>
      </c>
      <c r="Q27" s="3">
        <v>45.4</v>
      </c>
      <c r="R27" s="3">
        <v>66.3</v>
      </c>
      <c r="S27" s="3">
        <v>54.1</v>
      </c>
      <c r="T27" s="3">
        <v>7.7</v>
      </c>
      <c r="U27" s="3">
        <v>18.2</v>
      </c>
      <c r="V27" s="3">
        <v>65.099999999999994</v>
      </c>
      <c r="W27" s="27">
        <v>1823</v>
      </c>
      <c r="X27" s="3">
        <v>1819</v>
      </c>
      <c r="Y27" s="3">
        <v>38.5</v>
      </c>
    </row>
    <row r="28" spans="1:25" ht="15.75" x14ac:dyDescent="0.25">
      <c r="A28" s="20" t="s">
        <v>43</v>
      </c>
      <c r="B28" s="3">
        <v>524</v>
      </c>
      <c r="C28" s="3">
        <v>236</v>
      </c>
      <c r="D28" s="3">
        <v>62.6</v>
      </c>
      <c r="E28" s="3">
        <v>26.4</v>
      </c>
      <c r="F28" s="3">
        <v>106.7</v>
      </c>
      <c r="G28" s="3">
        <v>0.22</v>
      </c>
      <c r="H28" s="3">
        <v>85.3</v>
      </c>
      <c r="I28" s="3">
        <v>14.7</v>
      </c>
      <c r="J28" s="3">
        <v>2.7</v>
      </c>
      <c r="K28" s="3">
        <v>95.3</v>
      </c>
      <c r="L28" s="3">
        <v>1.8</v>
      </c>
      <c r="M28" s="3">
        <v>80</v>
      </c>
      <c r="N28" s="3">
        <v>41.1</v>
      </c>
      <c r="O28" s="3">
        <v>105.6</v>
      </c>
      <c r="P28" s="3">
        <v>1745</v>
      </c>
      <c r="Q28" s="3">
        <v>48.2</v>
      </c>
      <c r="R28" s="3">
        <v>62.1</v>
      </c>
      <c r="S28" s="3">
        <v>54.9</v>
      </c>
      <c r="T28" s="3">
        <v>7.8</v>
      </c>
      <c r="U28" s="3">
        <v>17.600000000000001</v>
      </c>
      <c r="V28" s="3">
        <v>57.9</v>
      </c>
      <c r="W28" s="27">
        <v>1757</v>
      </c>
      <c r="X28" s="3">
        <v>1664</v>
      </c>
      <c r="Y28" s="3">
        <v>38.9</v>
      </c>
    </row>
    <row r="29" spans="1:25" ht="15.75" x14ac:dyDescent="0.25">
      <c r="A29" s="20" t="s">
        <v>44</v>
      </c>
      <c r="B29" s="3">
        <v>448</v>
      </c>
      <c r="C29" s="3">
        <v>260</v>
      </c>
      <c r="D29" s="3">
        <v>77.8</v>
      </c>
      <c r="E29" s="3">
        <v>26.9</v>
      </c>
      <c r="F29" s="3">
        <v>107.1</v>
      </c>
      <c r="G29" s="3">
        <v>0.36</v>
      </c>
      <c r="H29" s="3">
        <v>92.2</v>
      </c>
      <c r="I29" s="3">
        <v>7.8</v>
      </c>
      <c r="J29" s="3">
        <v>3.1</v>
      </c>
      <c r="K29" s="3">
        <v>96.9</v>
      </c>
      <c r="L29" s="3">
        <v>2.2000000000000002</v>
      </c>
      <c r="M29" s="3">
        <v>78.099999999999994</v>
      </c>
      <c r="N29" s="3">
        <v>42</v>
      </c>
      <c r="O29" s="3">
        <v>109.4</v>
      </c>
      <c r="P29" s="3">
        <v>1752</v>
      </c>
      <c r="Q29" s="3">
        <v>53.6</v>
      </c>
      <c r="R29" s="3">
        <v>63.5</v>
      </c>
      <c r="S29" s="3">
        <v>64</v>
      </c>
      <c r="T29" s="3">
        <v>7.8</v>
      </c>
      <c r="U29" s="3">
        <v>15.3</v>
      </c>
      <c r="V29" s="3">
        <v>53.2</v>
      </c>
      <c r="W29" s="27">
        <v>1762</v>
      </c>
      <c r="X29" s="3">
        <v>1610</v>
      </c>
      <c r="Y29" s="3">
        <v>28.5</v>
      </c>
    </row>
    <row r="30" spans="1:25" ht="15.75" x14ac:dyDescent="0.25">
      <c r="A30" s="20" t="s">
        <v>46</v>
      </c>
      <c r="B30" s="3">
        <v>424</v>
      </c>
      <c r="C30" s="3">
        <v>196</v>
      </c>
      <c r="D30" s="3">
        <v>62.2</v>
      </c>
      <c r="E30" s="3">
        <v>27.6</v>
      </c>
      <c r="F30" s="3">
        <v>106.2</v>
      </c>
      <c r="G30" s="3">
        <v>0.31</v>
      </c>
      <c r="H30" s="3">
        <v>80.2</v>
      </c>
      <c r="I30" s="3">
        <v>19.8</v>
      </c>
      <c r="J30" s="3">
        <v>2.9</v>
      </c>
      <c r="K30" s="3">
        <v>94.9</v>
      </c>
      <c r="L30" s="3">
        <v>2.1</v>
      </c>
      <c r="M30" s="3">
        <v>80.3</v>
      </c>
      <c r="N30" s="3">
        <v>41.8</v>
      </c>
      <c r="O30" s="3">
        <v>100</v>
      </c>
      <c r="P30" s="3">
        <v>1723</v>
      </c>
      <c r="Q30" s="3">
        <v>49.7</v>
      </c>
      <c r="R30" s="3">
        <v>68.8</v>
      </c>
      <c r="S30" s="3">
        <v>58.1</v>
      </c>
      <c r="T30" s="3">
        <v>7.8</v>
      </c>
      <c r="U30" s="3">
        <v>17.600000000000001</v>
      </c>
      <c r="V30" s="3">
        <v>70.099999999999994</v>
      </c>
      <c r="W30" s="27">
        <v>1723</v>
      </c>
      <c r="X30" s="3">
        <v>1722</v>
      </c>
      <c r="Y30" s="3">
        <v>34.200000000000003</v>
      </c>
    </row>
    <row r="31" spans="1:25" ht="15.75" x14ac:dyDescent="0.25">
      <c r="A31" s="20" t="s">
        <v>49</v>
      </c>
      <c r="B31" s="3">
        <v>315</v>
      </c>
      <c r="C31" s="3">
        <v>162</v>
      </c>
      <c r="D31" s="3">
        <v>70.7</v>
      </c>
      <c r="E31" s="3">
        <v>26</v>
      </c>
      <c r="F31" s="3">
        <v>108.4</v>
      </c>
      <c r="G31" s="3">
        <v>0.14000000000000001</v>
      </c>
      <c r="H31" s="3">
        <v>66.3</v>
      </c>
      <c r="I31" s="3">
        <v>33.700000000000003</v>
      </c>
      <c r="J31" s="3">
        <v>2.5</v>
      </c>
      <c r="K31" s="3">
        <v>89.5</v>
      </c>
      <c r="L31" s="3">
        <v>3.2</v>
      </c>
      <c r="M31" s="3">
        <v>69.099999999999994</v>
      </c>
      <c r="N31" s="3">
        <v>41.9</v>
      </c>
      <c r="O31" s="3">
        <v>107</v>
      </c>
      <c r="P31" s="3">
        <v>1679</v>
      </c>
      <c r="Q31" s="3">
        <v>42.3</v>
      </c>
      <c r="R31" s="3">
        <v>66</v>
      </c>
      <c r="S31" s="3">
        <v>52.1</v>
      </c>
      <c r="T31" s="3">
        <v>7.5</v>
      </c>
      <c r="U31" s="3">
        <v>20</v>
      </c>
      <c r="V31" s="3">
        <v>44.3</v>
      </c>
      <c r="W31" s="27">
        <v>1711</v>
      </c>
      <c r="X31" s="3">
        <v>1598</v>
      </c>
      <c r="Y31" s="3">
        <v>41.7</v>
      </c>
    </row>
    <row r="32" spans="1:25" ht="15.75" x14ac:dyDescent="0.25">
      <c r="A32" s="20" t="s">
        <v>53</v>
      </c>
      <c r="B32" s="3">
        <v>210</v>
      </c>
      <c r="C32" s="3">
        <v>111</v>
      </c>
      <c r="D32" s="3">
        <v>65.3</v>
      </c>
      <c r="E32" s="3">
        <v>29.4</v>
      </c>
      <c r="F32" s="3">
        <v>110</v>
      </c>
      <c r="G32" s="3">
        <v>0.21</v>
      </c>
      <c r="H32" s="3">
        <v>50</v>
      </c>
      <c r="I32" s="3">
        <v>50</v>
      </c>
      <c r="J32" s="3">
        <v>2.8</v>
      </c>
      <c r="K32" s="3">
        <v>80.2</v>
      </c>
      <c r="L32" s="3">
        <v>5.3</v>
      </c>
      <c r="M32" s="3">
        <v>30.8</v>
      </c>
      <c r="N32" s="3">
        <v>38.5</v>
      </c>
      <c r="O32" s="3">
        <v>112</v>
      </c>
      <c r="P32" s="3">
        <v>1384</v>
      </c>
      <c r="Q32" s="3">
        <v>50</v>
      </c>
      <c r="R32" s="3">
        <v>50</v>
      </c>
      <c r="S32" s="3">
        <v>74.3</v>
      </c>
      <c r="T32" s="3">
        <v>7.4</v>
      </c>
      <c r="U32" s="3">
        <v>33.799999999999997</v>
      </c>
      <c r="V32" s="3">
        <v>44.9</v>
      </c>
      <c r="W32" s="27">
        <v>1447</v>
      </c>
      <c r="X32" s="3">
        <v>1292</v>
      </c>
      <c r="Y32" s="3">
        <v>17.600000000000001</v>
      </c>
    </row>
    <row r="33" spans="1:55" ht="15.75" x14ac:dyDescent="0.25">
      <c r="A33" s="20" t="s">
        <v>54</v>
      </c>
      <c r="B33" s="3">
        <v>180</v>
      </c>
      <c r="C33" s="3">
        <v>113</v>
      </c>
      <c r="D33" s="3">
        <v>74.3</v>
      </c>
      <c r="E33" s="3">
        <v>27.2</v>
      </c>
      <c r="F33" s="3">
        <v>106.9</v>
      </c>
      <c r="G33" s="3">
        <v>0.49</v>
      </c>
      <c r="H33" s="3">
        <v>82.8</v>
      </c>
      <c r="I33" s="3">
        <v>17.2</v>
      </c>
      <c r="J33" s="3">
        <v>3.4</v>
      </c>
      <c r="K33" s="3">
        <v>96.5</v>
      </c>
      <c r="L33" s="3">
        <v>2.2999999999999998</v>
      </c>
      <c r="M33" s="3">
        <v>65.7</v>
      </c>
      <c r="N33" s="3">
        <v>42.4</v>
      </c>
      <c r="O33" s="3">
        <v>111</v>
      </c>
      <c r="P33" s="3">
        <v>1849</v>
      </c>
      <c r="Q33" s="3">
        <v>62.9</v>
      </c>
      <c r="R33" s="3">
        <v>64.8</v>
      </c>
      <c r="S33" s="3">
        <v>66.7</v>
      </c>
      <c r="T33" s="3">
        <v>7.9</v>
      </c>
      <c r="U33" s="3">
        <v>16.2</v>
      </c>
      <c r="V33" s="3">
        <v>31.4</v>
      </c>
      <c r="W33" s="27">
        <v>1880</v>
      </c>
      <c r="X33" s="3">
        <v>1688</v>
      </c>
      <c r="Y33" s="3">
        <v>29.5</v>
      </c>
    </row>
    <row r="34" spans="1:55" ht="15.75" x14ac:dyDescent="0.25">
      <c r="A34" s="20" t="s">
        <v>55</v>
      </c>
      <c r="B34" s="3">
        <v>134</v>
      </c>
      <c r="C34" s="3">
        <v>56</v>
      </c>
      <c r="D34" s="3">
        <v>56.6</v>
      </c>
      <c r="E34" s="3">
        <v>28.1</v>
      </c>
      <c r="F34" s="3">
        <v>109</v>
      </c>
      <c r="G34" s="3">
        <v>0.28999999999999998</v>
      </c>
      <c r="H34" s="3">
        <v>43.3</v>
      </c>
      <c r="I34" s="3">
        <v>56.7</v>
      </c>
      <c r="J34" s="3">
        <v>3</v>
      </c>
      <c r="K34" s="3">
        <v>83.9</v>
      </c>
      <c r="L34" s="3">
        <v>5</v>
      </c>
      <c r="M34" s="3">
        <v>21.3</v>
      </c>
      <c r="N34" s="3">
        <v>38.700000000000003</v>
      </c>
      <c r="O34" s="3">
        <v>132</v>
      </c>
      <c r="P34" s="3">
        <v>1358</v>
      </c>
      <c r="Q34" s="3">
        <v>44.7</v>
      </c>
      <c r="R34" s="3">
        <v>36.200000000000003</v>
      </c>
      <c r="S34" s="3">
        <v>60</v>
      </c>
      <c r="T34" s="3">
        <v>7.9</v>
      </c>
      <c r="U34" s="3">
        <v>25.5</v>
      </c>
      <c r="V34" s="3">
        <v>36.200000000000003</v>
      </c>
      <c r="W34" s="27">
        <v>1596</v>
      </c>
      <c r="X34" s="3">
        <v>1209</v>
      </c>
      <c r="Y34" s="3">
        <v>28.9</v>
      </c>
    </row>
    <row r="35" spans="1:55" ht="15.75" x14ac:dyDescent="0.25">
      <c r="A35" s="20" t="s">
        <v>58</v>
      </c>
      <c r="B35" s="3">
        <v>88</v>
      </c>
      <c r="C35" s="3">
        <v>46</v>
      </c>
      <c r="D35" s="3">
        <v>73</v>
      </c>
      <c r="E35" s="3">
        <v>30.3</v>
      </c>
      <c r="F35" s="3">
        <v>105.3</v>
      </c>
      <c r="G35" s="3">
        <v>0.2</v>
      </c>
      <c r="H35" s="3">
        <v>63.6</v>
      </c>
      <c r="I35" s="3">
        <v>36.4</v>
      </c>
      <c r="J35" s="3">
        <v>2.7</v>
      </c>
      <c r="K35" s="3">
        <v>95.7</v>
      </c>
      <c r="L35" s="3">
        <v>3.1</v>
      </c>
      <c r="M35" s="3">
        <v>53.5</v>
      </c>
      <c r="N35" s="3">
        <v>42.7</v>
      </c>
      <c r="O35" s="3">
        <v>128</v>
      </c>
      <c r="P35" s="3">
        <v>1741</v>
      </c>
      <c r="Q35" s="3">
        <v>58.1</v>
      </c>
      <c r="R35" s="3">
        <v>62.8</v>
      </c>
      <c r="S35" s="3">
        <v>61.9</v>
      </c>
      <c r="T35" s="3">
        <v>8.1</v>
      </c>
      <c r="U35" s="3">
        <v>20.9</v>
      </c>
      <c r="V35" s="3">
        <v>39.5</v>
      </c>
      <c r="W35" s="27">
        <v>1871</v>
      </c>
      <c r="X35" s="3">
        <v>1459</v>
      </c>
      <c r="Y35" s="3">
        <v>35.700000000000003</v>
      </c>
    </row>
    <row r="36" spans="1:55" ht="15.75" x14ac:dyDescent="0.25">
      <c r="A36" s="21" t="s">
        <v>32</v>
      </c>
      <c r="B36" s="3">
        <v>1034</v>
      </c>
      <c r="C36" s="3">
        <v>557</v>
      </c>
      <c r="D36" s="3">
        <v>71.900000000000006</v>
      </c>
      <c r="E36" s="3">
        <v>26.4</v>
      </c>
      <c r="F36" s="3">
        <v>109.2</v>
      </c>
      <c r="G36" s="3">
        <v>0.24</v>
      </c>
      <c r="H36" s="3">
        <v>47.4</v>
      </c>
      <c r="I36" s="3">
        <v>52.6</v>
      </c>
      <c r="J36" s="3">
        <v>2.7</v>
      </c>
      <c r="K36" s="3">
        <v>94.3</v>
      </c>
      <c r="L36" s="3">
        <v>2.5</v>
      </c>
      <c r="M36" s="3">
        <v>44.9</v>
      </c>
      <c r="N36" s="3">
        <v>32.4</v>
      </c>
      <c r="O36" s="3">
        <v>108.6</v>
      </c>
      <c r="P36" s="3">
        <v>1567</v>
      </c>
      <c r="Q36" s="3">
        <v>43.9</v>
      </c>
      <c r="R36" s="3">
        <v>61.4</v>
      </c>
      <c r="S36" s="3">
        <v>61.7</v>
      </c>
      <c r="T36" s="3">
        <v>8.1999999999999993</v>
      </c>
      <c r="U36" s="3">
        <v>13.4</v>
      </c>
      <c r="V36" s="3">
        <v>63.7</v>
      </c>
      <c r="W36" s="27">
        <v>1646</v>
      </c>
      <c r="X36" s="3">
        <v>1515</v>
      </c>
      <c r="Y36" s="3">
        <v>31.8</v>
      </c>
    </row>
    <row r="37" spans="1:55" ht="15.75" x14ac:dyDescent="0.25">
      <c r="A37" s="21" t="s">
        <v>33</v>
      </c>
      <c r="B37" s="3">
        <v>999</v>
      </c>
      <c r="C37" s="3">
        <v>543</v>
      </c>
      <c r="D37" s="3">
        <v>73.5</v>
      </c>
      <c r="E37" s="3">
        <v>26.1</v>
      </c>
      <c r="F37" s="3">
        <v>110.3</v>
      </c>
      <c r="G37" s="3">
        <v>0.23</v>
      </c>
      <c r="H37" s="3">
        <v>72</v>
      </c>
      <c r="I37" s="3">
        <v>28</v>
      </c>
      <c r="J37" s="3">
        <v>2.7</v>
      </c>
      <c r="K37" s="3">
        <v>95.6</v>
      </c>
      <c r="L37" s="3">
        <v>2.9</v>
      </c>
      <c r="M37" s="3">
        <v>52.8</v>
      </c>
      <c r="N37" s="3">
        <v>37.200000000000003</v>
      </c>
      <c r="O37" s="3">
        <v>107.8</v>
      </c>
      <c r="P37" s="3">
        <v>1633</v>
      </c>
      <c r="Q37" s="3">
        <v>47.8</v>
      </c>
      <c r="R37" s="3">
        <v>63.9</v>
      </c>
      <c r="S37" s="3">
        <v>61.3</v>
      </c>
      <c r="T37" s="3">
        <v>8</v>
      </c>
      <c r="U37" s="3">
        <v>14.9</v>
      </c>
      <c r="V37" s="3">
        <v>63.9</v>
      </c>
      <c r="W37" s="27">
        <v>1666</v>
      </c>
      <c r="X37" s="3">
        <v>1546</v>
      </c>
      <c r="Y37" s="3">
        <v>32.9</v>
      </c>
    </row>
    <row r="39" spans="1:55" ht="30" customHeight="1" x14ac:dyDescent="0.25">
      <c r="A39" s="22" t="s">
        <v>71</v>
      </c>
      <c r="B39" s="13" t="s">
        <v>0</v>
      </c>
      <c r="C39" s="13" t="s">
        <v>1</v>
      </c>
      <c r="D39" s="13" t="s">
        <v>2</v>
      </c>
      <c r="E39" s="15" t="s">
        <v>3</v>
      </c>
      <c r="F39" s="15" t="s">
        <v>4</v>
      </c>
      <c r="G39" s="13" t="s">
        <v>6</v>
      </c>
      <c r="H39" s="13" t="s">
        <v>69</v>
      </c>
      <c r="I39" s="13" t="s">
        <v>70</v>
      </c>
      <c r="J39" s="13" t="s">
        <v>5</v>
      </c>
      <c r="K39" s="13" t="s">
        <v>7</v>
      </c>
      <c r="L39" s="13" t="s">
        <v>8</v>
      </c>
      <c r="M39" s="13" t="s">
        <v>9</v>
      </c>
      <c r="N39" s="13" t="s">
        <v>11</v>
      </c>
      <c r="O39" s="13" t="s">
        <v>21</v>
      </c>
      <c r="P39" s="13" t="s">
        <v>14</v>
      </c>
      <c r="Q39" s="13" t="s">
        <v>15</v>
      </c>
      <c r="R39" s="13" t="s">
        <v>22</v>
      </c>
      <c r="S39" s="13" t="s">
        <v>16</v>
      </c>
      <c r="T39" s="13" t="s">
        <v>17</v>
      </c>
      <c r="U39" s="13" t="s">
        <v>18</v>
      </c>
      <c r="V39" s="13" t="s">
        <v>10</v>
      </c>
      <c r="W39" s="13" t="s">
        <v>12</v>
      </c>
      <c r="X39" s="13" t="s">
        <v>13</v>
      </c>
      <c r="Y39" s="13" t="s">
        <v>20</v>
      </c>
    </row>
    <row r="40" spans="1:55" x14ac:dyDescent="0.25">
      <c r="A40" s="15" t="s">
        <v>72</v>
      </c>
      <c r="B40" s="23">
        <f>AVERAGE(B2:B37)</f>
        <v>828.88888888888891</v>
      </c>
      <c r="C40" s="23">
        <f>AVERAGE(C2:C37)</f>
        <v>432.44444444444446</v>
      </c>
      <c r="D40" s="23">
        <f>AVERAGE(D2:D37)</f>
        <v>68.941666666666663</v>
      </c>
      <c r="E40" s="23">
        <f>AVERAGE(E2:E37)</f>
        <v>27.022222222222219</v>
      </c>
      <c r="F40" s="23">
        <f t="shared" ref="F40:Y40" si="0">AVERAGE(F2:F37)</f>
        <v>107.82222222222222</v>
      </c>
      <c r="G40" s="23">
        <f t="shared" si="0"/>
        <v>0.24999999999999994</v>
      </c>
      <c r="H40" s="23">
        <f>AVERAGE(H2:H37)</f>
        <v>59.369444444444447</v>
      </c>
      <c r="I40" s="23">
        <f>AVERAGE(I2:I37)</f>
        <v>40.630555555555553</v>
      </c>
      <c r="J40" s="23">
        <f>AVERAGE(J2:J37)</f>
        <v>2.808333333333334</v>
      </c>
      <c r="K40" s="23">
        <f t="shared" si="0"/>
        <v>91.769444444444446</v>
      </c>
      <c r="L40" s="23">
        <f t="shared" si="0"/>
        <v>3.6527777777777768</v>
      </c>
      <c r="M40" s="23">
        <f t="shared" si="0"/>
        <v>55.280555555555537</v>
      </c>
      <c r="N40" s="23">
        <f t="shared" si="0"/>
        <v>39.288888888888899</v>
      </c>
      <c r="O40" s="23">
        <f t="shared" si="0"/>
        <v>111.31944444444443</v>
      </c>
      <c r="P40" s="23">
        <f t="shared" si="0"/>
        <v>1606.5</v>
      </c>
      <c r="Q40" s="23">
        <f t="shared" si="0"/>
        <v>51.586111111111109</v>
      </c>
      <c r="R40" s="23">
        <f t="shared" si="0"/>
        <v>59.658333333333317</v>
      </c>
      <c r="S40" s="23">
        <f t="shared" si="0"/>
        <v>62.677777777777777</v>
      </c>
      <c r="T40" s="23">
        <f t="shared" si="0"/>
        <v>7.783333333333335</v>
      </c>
      <c r="U40" s="23">
        <f t="shared" si="0"/>
        <v>20.886111111111106</v>
      </c>
      <c r="V40" s="23">
        <f t="shared" si="0"/>
        <v>47.43611111111111</v>
      </c>
      <c r="W40" s="23">
        <f t="shared" si="0"/>
        <v>1699.4166666666667</v>
      </c>
      <c r="X40" s="23">
        <f t="shared" si="0"/>
        <v>1540.1388888888889</v>
      </c>
      <c r="Y40" s="23">
        <f t="shared" si="0"/>
        <v>28.633333333333333</v>
      </c>
    </row>
    <row r="41" spans="1:55" x14ac:dyDescent="0.25">
      <c r="A41" s="15" t="s">
        <v>73</v>
      </c>
      <c r="B41" s="3">
        <f>MEDIAN(B2:B37)</f>
        <v>642</v>
      </c>
      <c r="C41" s="3">
        <f>MEDIAN(C2:C37)</f>
        <v>347</v>
      </c>
      <c r="D41" s="3">
        <f>MEDIAN(D2:D37)</f>
        <v>69.900000000000006</v>
      </c>
      <c r="E41" s="3">
        <f>MEDIAN(E2:E37)</f>
        <v>26.799999999999997</v>
      </c>
      <c r="F41" s="3">
        <f t="shared" ref="F41:Y41" si="1">MEDIAN(F2:F37)</f>
        <v>107.65</v>
      </c>
      <c r="G41" s="3">
        <f t="shared" si="1"/>
        <v>0.23499999999999999</v>
      </c>
      <c r="H41" s="3">
        <f>MEDIAN(H2:H37)</f>
        <v>58.85</v>
      </c>
      <c r="I41" s="3">
        <f>MEDIAN(I2:I37)</f>
        <v>41.15</v>
      </c>
      <c r="J41" s="3">
        <f>MEDIAN(J2:J37)</f>
        <v>2.75</v>
      </c>
      <c r="K41" s="3">
        <f t="shared" si="1"/>
        <v>94.35</v>
      </c>
      <c r="L41" s="3">
        <f t="shared" si="1"/>
        <v>3.05</v>
      </c>
      <c r="M41" s="3">
        <f t="shared" si="1"/>
        <v>53.85</v>
      </c>
      <c r="N41" s="3">
        <f t="shared" si="1"/>
        <v>41.1</v>
      </c>
      <c r="O41" s="3">
        <f t="shared" si="1"/>
        <v>106.95</v>
      </c>
      <c r="P41" s="3">
        <f t="shared" si="1"/>
        <v>1639.5</v>
      </c>
      <c r="Q41" s="3">
        <f t="shared" si="1"/>
        <v>52.85</v>
      </c>
      <c r="R41" s="3">
        <f t="shared" si="1"/>
        <v>62.45</v>
      </c>
      <c r="S41" s="3">
        <f t="shared" si="1"/>
        <v>62.45</v>
      </c>
      <c r="T41" s="3">
        <f t="shared" si="1"/>
        <v>7.8</v>
      </c>
      <c r="U41" s="3">
        <f t="shared" si="1"/>
        <v>20.25</v>
      </c>
      <c r="V41" s="3">
        <f t="shared" si="1"/>
        <v>44.599999999999994</v>
      </c>
      <c r="W41" s="3">
        <f t="shared" si="1"/>
        <v>1680.5</v>
      </c>
      <c r="X41" s="3">
        <f t="shared" si="1"/>
        <v>1571</v>
      </c>
      <c r="Y41" s="3">
        <f t="shared" si="1"/>
        <v>29.25</v>
      </c>
    </row>
    <row r="42" spans="1:55" x14ac:dyDescent="0.25">
      <c r="A42" s="15" t="s">
        <v>74</v>
      </c>
      <c r="B42" s="3">
        <f>MIN(B2:B37)</f>
        <v>88</v>
      </c>
      <c r="C42" s="3">
        <f>MIN(C2:C37)</f>
        <v>42</v>
      </c>
      <c r="D42" s="3">
        <f>MIN(D2:D37)</f>
        <v>56.6</v>
      </c>
      <c r="E42" s="3">
        <f>MIN(E2:E37)</f>
        <v>26</v>
      </c>
      <c r="F42" s="3">
        <f t="shared" ref="F42:Y42" si="2">MIN(F2:F37)</f>
        <v>105.3</v>
      </c>
      <c r="G42" s="3">
        <f t="shared" si="2"/>
        <v>0.11</v>
      </c>
      <c r="H42" s="3">
        <f>MIN(H2:H37)</f>
        <v>18.3</v>
      </c>
      <c r="I42" s="3">
        <f>MIN(I2:I37)</f>
        <v>7.8</v>
      </c>
      <c r="J42" s="3">
        <f>MIN(J2:J37)</f>
        <v>2.4</v>
      </c>
      <c r="K42" s="3">
        <f t="shared" si="2"/>
        <v>73.8</v>
      </c>
      <c r="L42" s="3">
        <f t="shared" si="2"/>
        <v>1.6</v>
      </c>
      <c r="M42" s="3">
        <f t="shared" si="2"/>
        <v>16.7</v>
      </c>
      <c r="N42" s="3">
        <f t="shared" si="2"/>
        <v>25.4</v>
      </c>
      <c r="O42" s="3">
        <f t="shared" si="2"/>
        <v>93.1</v>
      </c>
      <c r="P42" s="3">
        <f t="shared" si="2"/>
        <v>1193</v>
      </c>
      <c r="Q42" s="3">
        <f t="shared" si="2"/>
        <v>27.8</v>
      </c>
      <c r="R42" s="3">
        <f t="shared" si="2"/>
        <v>35.700000000000003</v>
      </c>
      <c r="S42" s="3">
        <f t="shared" si="2"/>
        <v>31.3</v>
      </c>
      <c r="T42" s="3">
        <f t="shared" si="2"/>
        <v>7.4</v>
      </c>
      <c r="U42" s="3">
        <f t="shared" si="2"/>
        <v>10.5</v>
      </c>
      <c r="V42" s="3">
        <f t="shared" si="2"/>
        <v>16.7</v>
      </c>
      <c r="W42" s="3">
        <f t="shared" si="2"/>
        <v>1278</v>
      </c>
      <c r="X42" s="3">
        <f t="shared" si="2"/>
        <v>1121</v>
      </c>
      <c r="Y42" s="3">
        <f t="shared" si="2"/>
        <v>10.199999999999999</v>
      </c>
    </row>
    <row r="43" spans="1:55" x14ac:dyDescent="0.25">
      <c r="A43" s="15" t="s">
        <v>75</v>
      </c>
      <c r="B43" s="3">
        <f>MAX(B2:B37)</f>
        <v>3238</v>
      </c>
      <c r="C43" s="3">
        <f>MAX(C2:C37)</f>
        <v>1673</v>
      </c>
      <c r="D43" s="3">
        <f>MAX(D2:D37)</f>
        <v>85.1</v>
      </c>
      <c r="E43" s="3">
        <f>MAX(E2:E37)</f>
        <v>30.3</v>
      </c>
      <c r="F43" s="3">
        <f t="shared" ref="F43:Y43" si="3">MAX(F2:F37)</f>
        <v>110.3</v>
      </c>
      <c r="G43" s="3">
        <f t="shared" si="3"/>
        <v>0.49</v>
      </c>
      <c r="H43" s="3">
        <f>MAX(H2:H37)</f>
        <v>92.2</v>
      </c>
      <c r="I43" s="3">
        <f>MAX(I2:I37)</f>
        <v>81.7</v>
      </c>
      <c r="J43" s="3">
        <f>MAX(J2:J37)</f>
        <v>3.4</v>
      </c>
      <c r="K43" s="3">
        <f t="shared" si="3"/>
        <v>97.7</v>
      </c>
      <c r="L43" s="3">
        <f t="shared" si="3"/>
        <v>8.3000000000000007</v>
      </c>
      <c r="M43" s="3">
        <f t="shared" si="3"/>
        <v>86.3</v>
      </c>
      <c r="N43" s="3">
        <f t="shared" si="3"/>
        <v>43</v>
      </c>
      <c r="O43" s="3">
        <f t="shared" si="3"/>
        <v>244.5</v>
      </c>
      <c r="P43" s="3">
        <f t="shared" si="3"/>
        <v>1873</v>
      </c>
      <c r="Q43" s="3">
        <f t="shared" si="3"/>
        <v>67.7</v>
      </c>
      <c r="R43" s="3">
        <f t="shared" si="3"/>
        <v>71.8</v>
      </c>
      <c r="S43" s="3">
        <f t="shared" si="3"/>
        <v>84.6</v>
      </c>
      <c r="T43" s="3">
        <f t="shared" si="3"/>
        <v>8.1999999999999993</v>
      </c>
      <c r="U43" s="3">
        <f t="shared" si="3"/>
        <v>47.6</v>
      </c>
      <c r="V43" s="3">
        <f t="shared" si="3"/>
        <v>79.599999999999994</v>
      </c>
      <c r="W43" s="3">
        <f t="shared" si="3"/>
        <v>3250</v>
      </c>
      <c r="X43" s="3">
        <f t="shared" si="3"/>
        <v>1819</v>
      </c>
      <c r="Y43" s="3">
        <f t="shared" si="3"/>
        <v>43.3</v>
      </c>
    </row>
    <row r="44" spans="1:55" x14ac:dyDescent="0.25">
      <c r="A44" s="15" t="s">
        <v>76</v>
      </c>
      <c r="B44" s="23">
        <f>_xlfn.STDEV.P(B2:B37)</f>
        <v>744.07174750295337</v>
      </c>
      <c r="C44" s="23">
        <f>_xlfn.STDEV.P(C2:C37)</f>
        <v>389.84038360764788</v>
      </c>
      <c r="D44" s="23">
        <f>_xlfn.STDEV.P(D2:D37)</f>
        <v>5.3907005832060246</v>
      </c>
      <c r="E44" s="23">
        <f>_xlfn.STDEV.P(E2:E37)</f>
        <v>0.88163708555010534</v>
      </c>
      <c r="F44" s="23">
        <f t="shared" ref="F44:Y44" si="4">_xlfn.STDEV.P(F2:F37)</f>
        <v>1.5204369092671122</v>
      </c>
      <c r="G44" s="23">
        <f t="shared" si="4"/>
        <v>9.1712109947984038E-2</v>
      </c>
      <c r="H44" s="23">
        <f>_xlfn.STDEV.P(H2:H37)</f>
        <v>19.955308670521781</v>
      </c>
      <c r="I44" s="23">
        <f>_xlfn.STDEV.P(I2:I37)</f>
        <v>19.955308670521816</v>
      </c>
      <c r="J44" s="23">
        <f>_xlfn.STDEV.P(J2:J37)</f>
        <v>0.23848480035423641</v>
      </c>
      <c r="K44" s="23">
        <f t="shared" si="4"/>
        <v>5.5268948206044852</v>
      </c>
      <c r="L44" s="23">
        <f t="shared" si="4"/>
        <v>1.6609043907045749</v>
      </c>
      <c r="M44" s="23">
        <f t="shared" si="4"/>
        <v>21.888947229194699</v>
      </c>
      <c r="N44" s="23">
        <f t="shared" si="4"/>
        <v>3.9129967045573326</v>
      </c>
      <c r="O44" s="23">
        <f t="shared" si="4"/>
        <v>23.699236033683633</v>
      </c>
      <c r="P44" s="23">
        <f t="shared" si="4"/>
        <v>167.87321604909661</v>
      </c>
      <c r="Q44" s="23">
        <f t="shared" si="4"/>
        <v>8.7390615049703868</v>
      </c>
      <c r="R44" s="23">
        <f t="shared" si="4"/>
        <v>9.1112072318779322</v>
      </c>
      <c r="S44" s="23">
        <f t="shared" si="4"/>
        <v>9.9016584220105521</v>
      </c>
      <c r="T44" s="23">
        <f t="shared" si="4"/>
        <v>0.18181186857726178</v>
      </c>
      <c r="U44" s="23">
        <f t="shared" si="4"/>
        <v>7.0867306667609542</v>
      </c>
      <c r="V44" s="23">
        <f t="shared" si="4"/>
        <v>17.235205455658654</v>
      </c>
      <c r="W44" s="23">
        <f t="shared" si="4"/>
        <v>301.12975931389519</v>
      </c>
      <c r="X44" s="23">
        <f t="shared" si="4"/>
        <v>169.61478459828018</v>
      </c>
      <c r="Y44" s="23">
        <f t="shared" si="4"/>
        <v>7.815760430764966</v>
      </c>
    </row>
    <row r="45" spans="1:55" x14ac:dyDescent="0.25">
      <c r="A45" s="15" t="s">
        <v>77</v>
      </c>
      <c r="B45" s="24">
        <f>B44/B40</f>
        <v>0.89767369001696784</v>
      </c>
      <c r="C45" s="24">
        <f>C44/C40</f>
        <v>0.90148084595807576</v>
      </c>
      <c r="D45" s="24">
        <f>D44/D40</f>
        <v>7.8192199925628314E-2</v>
      </c>
      <c r="E45" s="24">
        <f>E44/E40</f>
        <v>3.2626372409337787E-2</v>
      </c>
      <c r="F45" s="24">
        <f t="shared" ref="F45:Y45" si="5">F44/F40</f>
        <v>1.4101331598726308E-2</v>
      </c>
      <c r="G45" s="24">
        <f t="shared" si="5"/>
        <v>0.36684843979193621</v>
      </c>
      <c r="H45" s="24">
        <f>H44/H40</f>
        <v>0.33612085909267958</v>
      </c>
      <c r="I45" s="24">
        <f>I44/I40</f>
        <v>0.49114043353988202</v>
      </c>
      <c r="J45" s="24">
        <f>J44/J40</f>
        <v>8.4920403686968432E-2</v>
      </c>
      <c r="K45" s="24">
        <f t="shared" si="5"/>
        <v>6.0225872065187959E-2</v>
      </c>
      <c r="L45" s="24">
        <f t="shared" si="5"/>
        <v>0.45469625905220312</v>
      </c>
      <c r="M45" s="24">
        <f t="shared" si="5"/>
        <v>0.39596105735943393</v>
      </c>
      <c r="N45" s="24">
        <f t="shared" si="5"/>
        <v>9.9595504358076875E-2</v>
      </c>
      <c r="O45" s="24">
        <f t="shared" si="5"/>
        <v>0.21289394815037077</v>
      </c>
      <c r="P45" s="24">
        <f t="shared" si="5"/>
        <v>0.10449624403927582</v>
      </c>
      <c r="Q45" s="24">
        <f t="shared" si="5"/>
        <v>0.16940725549455277</v>
      </c>
      <c r="R45" s="24">
        <f t="shared" si="5"/>
        <v>0.15272312722801398</v>
      </c>
      <c r="S45" s="24">
        <f t="shared" si="5"/>
        <v>0.15797717744742948</v>
      </c>
      <c r="T45" s="24">
        <f t="shared" si="5"/>
        <v>2.3359126583802365E-2</v>
      </c>
      <c r="U45" s="24">
        <f t="shared" si="5"/>
        <v>0.33930350312993007</v>
      </c>
      <c r="V45" s="24">
        <f t="shared" si="5"/>
        <v>0.36333512701511483</v>
      </c>
      <c r="W45" s="24">
        <f t="shared" si="5"/>
        <v>0.17719595507118827</v>
      </c>
      <c r="X45" s="24">
        <f t="shared" si="5"/>
        <v>0.11012953820070495</v>
      </c>
      <c r="Y45" s="24">
        <f t="shared" si="5"/>
        <v>0.27296020130727472</v>
      </c>
    </row>
    <row r="46" spans="1:55" x14ac:dyDescent="0.25">
      <c r="A46" s="15" t="s">
        <v>78</v>
      </c>
      <c r="B46" s="5">
        <f>QUARTILE(B2:B37,1)</f>
        <v>307</v>
      </c>
      <c r="C46" s="5">
        <f>QUARTILE(C2:C37,1)</f>
        <v>157.5</v>
      </c>
      <c r="D46" s="5">
        <f>QUARTILE(D2:D37,1)</f>
        <v>65</v>
      </c>
      <c r="E46" s="5">
        <f>QUARTILE(E2:E37,1)</f>
        <v>26.4</v>
      </c>
      <c r="F46" s="5">
        <f t="shared" ref="F46:Y46" si="6">QUARTILE(F2:F37,1)</f>
        <v>106.77500000000001</v>
      </c>
      <c r="G46" s="5">
        <f t="shared" si="6"/>
        <v>0.18</v>
      </c>
      <c r="H46" s="5">
        <f>QUARTILE(H2:H37,1)</f>
        <v>46.75</v>
      </c>
      <c r="I46" s="5">
        <f>QUARTILE(I2:I37,1)</f>
        <v>22.425000000000001</v>
      </c>
      <c r="J46" s="5">
        <f>QUARTILE(J2:J37,1)</f>
        <v>2.6750000000000003</v>
      </c>
      <c r="K46" s="5">
        <f t="shared" si="6"/>
        <v>89.25</v>
      </c>
      <c r="L46" s="5">
        <f t="shared" si="6"/>
        <v>2.2749999999999999</v>
      </c>
      <c r="M46" s="5">
        <f t="shared" si="6"/>
        <v>37.325000000000003</v>
      </c>
      <c r="N46" s="5">
        <f t="shared" si="6"/>
        <v>38.075000000000003</v>
      </c>
      <c r="O46" s="5">
        <f t="shared" si="6"/>
        <v>103.82499999999999</v>
      </c>
      <c r="P46" s="5">
        <f t="shared" si="6"/>
        <v>1474.25</v>
      </c>
      <c r="Q46" s="5">
        <f t="shared" si="6"/>
        <v>45.225000000000001</v>
      </c>
      <c r="R46" s="5">
        <f t="shared" si="6"/>
        <v>55.524999999999999</v>
      </c>
      <c r="S46" s="5">
        <f t="shared" si="6"/>
        <v>58.550000000000004</v>
      </c>
      <c r="T46" s="5">
        <f t="shared" si="6"/>
        <v>7.7</v>
      </c>
      <c r="U46" s="5">
        <f t="shared" si="6"/>
        <v>16.574999999999999</v>
      </c>
      <c r="V46" s="5">
        <f t="shared" si="6"/>
        <v>34.625</v>
      </c>
      <c r="W46" s="5">
        <f t="shared" si="6"/>
        <v>1563.75</v>
      </c>
      <c r="X46" s="5">
        <f t="shared" si="6"/>
        <v>1430.5</v>
      </c>
      <c r="Y46" s="5">
        <f t="shared" si="6"/>
        <v>24.524999999999999</v>
      </c>
    </row>
    <row r="47" spans="1:55" x14ac:dyDescent="0.25">
      <c r="A47" s="25" t="s">
        <v>79</v>
      </c>
      <c r="B47" s="37">
        <f>QUARTILE(B2:B37,3)</f>
        <v>984</v>
      </c>
      <c r="C47" s="37">
        <f>QUARTILE(C2:C37,3)</f>
        <v>519.75</v>
      </c>
      <c r="D47" s="37">
        <f>QUARTILE(D2:D37,3)</f>
        <v>71.925000000000011</v>
      </c>
      <c r="E47" s="37">
        <f>QUARTILE(E2:E37,3)</f>
        <v>27.4</v>
      </c>
      <c r="F47" s="37">
        <f t="shared" ref="F47:Y47" si="7">QUARTILE(F2:F37,3)</f>
        <v>109</v>
      </c>
      <c r="G47" s="37">
        <f t="shared" si="7"/>
        <v>0.315</v>
      </c>
      <c r="H47" s="37">
        <f>QUARTILE(H2:H37,3)</f>
        <v>77.575000000000003</v>
      </c>
      <c r="I47" s="37">
        <f>QUARTILE(I2:I37,3)</f>
        <v>53.25</v>
      </c>
      <c r="J47" s="37">
        <f>QUARTILE(J2:J37,3)</f>
        <v>3</v>
      </c>
      <c r="K47" s="37">
        <f t="shared" si="7"/>
        <v>95.625</v>
      </c>
      <c r="L47" s="37">
        <f t="shared" si="7"/>
        <v>4.8499999999999996</v>
      </c>
      <c r="M47" s="37">
        <f t="shared" si="7"/>
        <v>76.600000000000009</v>
      </c>
      <c r="N47" s="37">
        <f t="shared" si="7"/>
        <v>41.924999999999997</v>
      </c>
      <c r="O47" s="37">
        <f t="shared" si="7"/>
        <v>110.92500000000001</v>
      </c>
      <c r="P47" s="37">
        <f t="shared" si="7"/>
        <v>1743.5</v>
      </c>
      <c r="Q47" s="37">
        <f t="shared" si="7"/>
        <v>56.75</v>
      </c>
      <c r="R47" s="37">
        <f t="shared" si="7"/>
        <v>65.699999999999989</v>
      </c>
      <c r="S47" s="37">
        <f t="shared" si="7"/>
        <v>68.875</v>
      </c>
      <c r="T47" s="37">
        <f t="shared" si="7"/>
        <v>7.9</v>
      </c>
      <c r="U47" s="37">
        <f t="shared" si="7"/>
        <v>22.625</v>
      </c>
      <c r="V47" s="37">
        <f t="shared" si="7"/>
        <v>61.674999999999997</v>
      </c>
      <c r="W47" s="37">
        <f t="shared" si="7"/>
        <v>1778.5</v>
      </c>
      <c r="X47" s="37">
        <f t="shared" si="7"/>
        <v>1681.25</v>
      </c>
      <c r="Y47" s="37">
        <f t="shared" si="7"/>
        <v>33.424999999999997</v>
      </c>
    </row>
    <row r="48" spans="1:55" s="14" customFormat="1" x14ac:dyDescent="0.25">
      <c r="A48" s="15" t="s">
        <v>80</v>
      </c>
      <c r="B48" s="3">
        <f>MODE(B2:B37)</f>
        <v>210</v>
      </c>
      <c r="C48" s="3">
        <f>MODE(C2:C37)</f>
        <v>42</v>
      </c>
      <c r="D48" s="3">
        <f>MODE(D2:D37)</f>
        <v>73.5</v>
      </c>
      <c r="E48" s="3">
        <f t="shared" ref="E48:Y48" si="8">MODE(E2:E37)</f>
        <v>26.4</v>
      </c>
      <c r="F48" s="3">
        <f t="shared" si="8"/>
        <v>109</v>
      </c>
      <c r="G48" s="3">
        <f t="shared" si="8"/>
        <v>0.21</v>
      </c>
      <c r="H48" s="3">
        <f>MODE(H2:H37)</f>
        <v>63.6</v>
      </c>
      <c r="I48" s="3">
        <f>MODE(I2:I37)</f>
        <v>36.4</v>
      </c>
      <c r="J48" s="3">
        <f>MODE(J2:J37)</f>
        <v>2.7</v>
      </c>
      <c r="K48" s="3">
        <f t="shared" si="8"/>
        <v>96.9</v>
      </c>
      <c r="L48" s="3">
        <f t="shared" si="8"/>
        <v>2.9</v>
      </c>
      <c r="M48" s="3">
        <f t="shared" si="8"/>
        <v>21.3</v>
      </c>
      <c r="N48" s="3">
        <f t="shared" si="8"/>
        <v>41.1</v>
      </c>
      <c r="O48" s="3">
        <f t="shared" si="8"/>
        <v>103</v>
      </c>
      <c r="P48" s="3">
        <f t="shared" si="8"/>
        <v>1387</v>
      </c>
      <c r="Q48" s="3">
        <f t="shared" si="8"/>
        <v>48.2</v>
      </c>
      <c r="R48" s="3">
        <f t="shared" si="8"/>
        <v>57.5</v>
      </c>
      <c r="S48" s="3">
        <f t="shared" si="8"/>
        <v>73.2</v>
      </c>
      <c r="T48" s="3">
        <f t="shared" si="8"/>
        <v>7.8</v>
      </c>
      <c r="U48" s="3">
        <f t="shared" si="8"/>
        <v>20.3</v>
      </c>
      <c r="V48" s="3">
        <f t="shared" si="8"/>
        <v>46.8</v>
      </c>
      <c r="W48" s="3" t="e">
        <f t="shared" si="8"/>
        <v>#N/A</v>
      </c>
      <c r="X48" s="3">
        <f t="shared" si="8"/>
        <v>1583</v>
      </c>
      <c r="Y48" s="3" t="e">
        <f t="shared" si="8"/>
        <v>#N/A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1:23" x14ac:dyDescent="0.25">
      <c r="W49"/>
    </row>
    <row r="52" spans="1:23" ht="15.75" x14ac:dyDescent="0.25">
      <c r="A52" s="12" t="s">
        <v>59</v>
      </c>
    </row>
    <row r="53" spans="1:23" ht="15.75" x14ac:dyDescent="0.25">
      <c r="A53" s="6" t="s">
        <v>60</v>
      </c>
    </row>
    <row r="54" spans="1:23" ht="15.75" x14ac:dyDescent="0.25">
      <c r="A54" s="7" t="s">
        <v>61</v>
      </c>
    </row>
    <row r="55" spans="1:23" ht="15.75" x14ac:dyDescent="0.25">
      <c r="A55" s="8" t="s">
        <v>62</v>
      </c>
    </row>
    <row r="56" spans="1:23" ht="15.75" x14ac:dyDescent="0.25">
      <c r="A56" s="9" t="s">
        <v>63</v>
      </c>
    </row>
    <row r="57" spans="1:23" ht="15.75" x14ac:dyDescent="0.25">
      <c r="A57" s="10"/>
    </row>
    <row r="58" spans="1:23" ht="15.75" x14ac:dyDescent="0.25">
      <c r="A58" s="12" t="s">
        <v>65</v>
      </c>
    </row>
    <row r="59" spans="1:23" ht="15.75" x14ac:dyDescent="0.25">
      <c r="A59" s="11" t="s">
        <v>67</v>
      </c>
    </row>
    <row r="60" spans="1:23" ht="15.75" x14ac:dyDescent="0.25">
      <c r="A60" s="7" t="s">
        <v>66</v>
      </c>
    </row>
    <row r="61" spans="1:23" ht="15.75" x14ac:dyDescent="0.25">
      <c r="A61" s="8" t="s">
        <v>68</v>
      </c>
    </row>
    <row r="62" spans="1:23" ht="15.75" x14ac:dyDescent="0.25">
      <c r="A62" s="9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FBB2-0E3B-4785-9A08-600D1DF08E1F}">
  <dimension ref="A1:C6"/>
  <sheetViews>
    <sheetView workbookViewId="0">
      <selection activeCell="D14" sqref="D14"/>
    </sheetView>
  </sheetViews>
  <sheetFormatPr defaultRowHeight="15" x14ac:dyDescent="0.25"/>
  <cols>
    <col min="1" max="1" width="86.28515625" customWidth="1"/>
    <col min="2" max="2" width="19" customWidth="1"/>
    <col min="3" max="3" width="39.85546875" bestFit="1" customWidth="1"/>
  </cols>
  <sheetData>
    <row r="1" spans="1:3" ht="18.75" x14ac:dyDescent="0.3">
      <c r="A1" s="42" t="s">
        <v>91</v>
      </c>
      <c r="B1" s="38" t="s">
        <v>92</v>
      </c>
      <c r="C1" s="39" t="s">
        <v>2</v>
      </c>
    </row>
    <row r="2" spans="1:3" ht="18.75" x14ac:dyDescent="0.3">
      <c r="A2" s="43" t="s">
        <v>86</v>
      </c>
      <c r="B2" s="9">
        <v>135</v>
      </c>
      <c r="C2" s="40">
        <v>0.33600000000000002</v>
      </c>
    </row>
    <row r="3" spans="1:3" ht="18.75" x14ac:dyDescent="0.3">
      <c r="A3" s="44" t="s">
        <v>87</v>
      </c>
      <c r="B3" s="9">
        <v>28</v>
      </c>
      <c r="C3" s="41">
        <v>0.8</v>
      </c>
    </row>
    <row r="4" spans="1:3" ht="18.75" x14ac:dyDescent="0.3">
      <c r="A4" s="44" t="s">
        <v>88</v>
      </c>
      <c r="B4" s="9">
        <v>17</v>
      </c>
      <c r="C4" s="40">
        <v>0.76500000000000001</v>
      </c>
    </row>
    <row r="5" spans="1:3" ht="18.75" x14ac:dyDescent="0.3">
      <c r="A5" s="44" t="s">
        <v>90</v>
      </c>
      <c r="B5" s="9">
        <v>30</v>
      </c>
      <c r="C5" s="40">
        <v>0.56499999999999995</v>
      </c>
    </row>
    <row r="6" spans="1:3" ht="18.75" x14ac:dyDescent="0.3">
      <c r="A6" s="45" t="s">
        <v>89</v>
      </c>
      <c r="B6" s="9">
        <v>24</v>
      </c>
      <c r="C6" s="40">
        <v>0.70599999999999996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6276-0AC7-4F1A-8E79-EB34D2A60D1A}">
  <dimension ref="A1:AZ54"/>
  <sheetViews>
    <sheetView workbookViewId="0">
      <selection activeCell="J1" sqref="J1"/>
    </sheetView>
  </sheetViews>
  <sheetFormatPr defaultRowHeight="15" x14ac:dyDescent="0.25"/>
  <cols>
    <col min="1" max="1" width="38.5703125" style="2" bestFit="1" customWidth="1"/>
    <col min="2" max="4" width="16.140625" bestFit="1" customWidth="1"/>
    <col min="5" max="5" width="12" customWidth="1"/>
    <col min="6" max="6" width="28.7109375" customWidth="1"/>
    <col min="7" max="7" width="19.28515625" customWidth="1"/>
    <col min="8" max="8" width="14.28515625" customWidth="1"/>
    <col min="9" max="9" width="13.28515625" customWidth="1"/>
    <col min="10" max="10" width="11.85546875" customWidth="1"/>
    <col min="11" max="11" width="13.7109375" customWidth="1"/>
    <col min="12" max="12" width="26.28515625" customWidth="1"/>
    <col min="13" max="13" width="17" customWidth="1"/>
    <col min="14" max="14" width="14.85546875" customWidth="1"/>
    <col min="15" max="15" width="14.28515625" customWidth="1"/>
    <col min="16" max="16" width="16.140625" bestFit="1" customWidth="1"/>
    <col min="17" max="17" width="13.28515625" customWidth="1"/>
    <col min="18" max="18" width="13.85546875" customWidth="1"/>
    <col min="19" max="20" width="16.140625" bestFit="1" customWidth="1"/>
    <col min="21" max="21" width="10.5703125" bestFit="1" customWidth="1"/>
    <col min="22" max="22" width="10.85546875" customWidth="1"/>
    <col min="23" max="23" width="13.5703125" customWidth="1"/>
    <col min="24" max="24" width="13.140625" customWidth="1"/>
    <col min="25" max="25" width="14.5703125" customWidth="1"/>
  </cols>
  <sheetData>
    <row r="1" spans="1:52" ht="55.5" customHeight="1" x14ac:dyDescent="0.25">
      <c r="A1" s="29" t="s">
        <v>81</v>
      </c>
      <c r="B1" s="25" t="s">
        <v>3</v>
      </c>
      <c r="C1" s="25" t="s">
        <v>4</v>
      </c>
      <c r="D1" s="28" t="s">
        <v>6</v>
      </c>
      <c r="E1" s="28" t="s">
        <v>7</v>
      </c>
      <c r="F1" s="28" t="s">
        <v>8</v>
      </c>
      <c r="G1" s="28" t="s">
        <v>9</v>
      </c>
      <c r="H1" s="28" t="s">
        <v>11</v>
      </c>
      <c r="I1" s="28" t="s">
        <v>21</v>
      </c>
      <c r="J1" s="28" t="s">
        <v>14</v>
      </c>
      <c r="K1" s="28" t="s">
        <v>15</v>
      </c>
      <c r="L1" s="28" t="s">
        <v>22</v>
      </c>
      <c r="M1" s="28" t="s">
        <v>16</v>
      </c>
      <c r="N1" s="28" t="s">
        <v>17</v>
      </c>
      <c r="O1" s="28" t="s">
        <v>18</v>
      </c>
      <c r="P1" s="28" t="s">
        <v>0</v>
      </c>
      <c r="Q1" s="28" t="s">
        <v>1</v>
      </c>
      <c r="R1" s="28" t="s">
        <v>2</v>
      </c>
      <c r="S1" s="28" t="s">
        <v>69</v>
      </c>
      <c r="T1" s="28" t="s">
        <v>70</v>
      </c>
      <c r="U1" s="28" t="s">
        <v>5</v>
      </c>
      <c r="V1" s="28" t="s">
        <v>10</v>
      </c>
      <c r="W1" s="28" t="s">
        <v>12</v>
      </c>
      <c r="X1" s="28" t="s">
        <v>13</v>
      </c>
      <c r="Y1" s="28" t="s">
        <v>20</v>
      </c>
    </row>
    <row r="2" spans="1:52" s="14" customFormat="1" x14ac:dyDescent="0.25">
      <c r="A2" s="15" t="s">
        <v>72</v>
      </c>
      <c r="B2" s="23">
        <f>AVERAGE('Tutte le stem'!E2:E9)</f>
        <v>26.837499999999999</v>
      </c>
      <c r="C2" s="23">
        <f>AVERAGE('Tutte le stem'!F2:F9)</f>
        <v>109.26249999999999</v>
      </c>
      <c r="D2" s="23">
        <f>AVERAGE('Tutte le stem'!G2:G9)</f>
        <v>0.14874999999999999</v>
      </c>
      <c r="E2" s="23">
        <f>AVERAGE('Tutte le stem'!K2:K9)</f>
        <v>86.125</v>
      </c>
      <c r="F2" s="23">
        <f>AVERAGE('Tutte le stem'!L2:L9)</f>
        <v>5.9749999999999996</v>
      </c>
      <c r="G2" s="23">
        <f>AVERAGE('Tutte le stem'!M2:M9)</f>
        <v>34.537500000000001</v>
      </c>
      <c r="H2" s="23">
        <f>AVERAGE('Tutte le stem'!N2:N9)</f>
        <v>34.487500000000004</v>
      </c>
      <c r="I2" s="23">
        <f>AVERAGE('Tutte le stem'!O2:O9)</f>
        <v>123.66249999999999</v>
      </c>
      <c r="J2" s="23">
        <f>AVERAGE('Tutte le stem'!P2:P9)</f>
        <v>1430.5</v>
      </c>
      <c r="K2" s="23">
        <f>AVERAGE('Tutte le stem'!Q2:Q9)</f>
        <v>49.574999999999996</v>
      </c>
      <c r="L2" s="23">
        <f>AVERAGE('Tutte le stem'!R2:R9)</f>
        <v>52.112499999999997</v>
      </c>
      <c r="M2" s="23">
        <f>AVERAGE('Tutte le stem'!S2:S9)</f>
        <v>61.724999999999994</v>
      </c>
      <c r="N2" s="23">
        <f>AVERAGE('Tutte le stem'!T2:T9)</f>
        <v>7.7624999999999993</v>
      </c>
      <c r="O2" s="23">
        <f>AVERAGE('Tutte le stem'!U2:U9)</f>
        <v>26.299999999999997</v>
      </c>
      <c r="P2" s="23">
        <f>AVERAGE('Tutte le stem'!B2:B9)</f>
        <v>890.125</v>
      </c>
      <c r="Q2" s="23">
        <f>AVERAGE('Tutte le stem'!C2:C9)</f>
        <v>464.75</v>
      </c>
      <c r="R2" s="23">
        <f>AVERAGE('Tutte le stem'!D2:D9)</f>
        <v>66.875</v>
      </c>
      <c r="S2" s="23">
        <f>AVERAGE('Tutte le stem'!H2:H9)</f>
        <v>34.537500000000001</v>
      </c>
      <c r="T2" s="23">
        <f>AVERAGE('Tutte le stem'!I2:I9)</f>
        <v>65.462500000000006</v>
      </c>
      <c r="U2" s="23">
        <f>AVERAGE('Tutte le stem'!J2:J9)</f>
        <v>2.5500000000000003</v>
      </c>
      <c r="V2" s="23">
        <f>AVERAGE('Tutte le stem'!V2:V9)</f>
        <v>28.812499999999996</v>
      </c>
      <c r="W2" s="23">
        <f>AVERAGE('Tutte le stem'!W2:W9)</f>
        <v>1705.625</v>
      </c>
      <c r="X2" s="23">
        <f>AVERAGE('Tutte le stem'!X2:X9)</f>
        <v>1392.25</v>
      </c>
      <c r="Y2" s="23">
        <f>AVERAGE('Tutte le stem'!Y2:Y9)</f>
        <v>21.3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14" customFormat="1" x14ac:dyDescent="0.25">
      <c r="A3" s="15" t="s">
        <v>73</v>
      </c>
      <c r="B3" s="3">
        <f>MEDIAN('Tutte le stem'!E2:E9)</f>
        <v>26.8</v>
      </c>
      <c r="C3" s="3">
        <f>MEDIAN('Tutte le stem'!F2:F9)</f>
        <v>109.2</v>
      </c>
      <c r="D3" s="3">
        <f>MEDIAN('Tutte le stem'!G2:G9)</f>
        <v>0.14500000000000002</v>
      </c>
      <c r="E3" s="3">
        <f>MEDIAN('Tutte le stem'!K2:K9)</f>
        <v>88.3</v>
      </c>
      <c r="F3" s="3">
        <f>MEDIAN('Tutte le stem'!L2:L9)</f>
        <v>5.85</v>
      </c>
      <c r="G3" s="3">
        <f>MEDIAN('Tutte le stem'!M2:M9)</f>
        <v>37.1</v>
      </c>
      <c r="H3" s="3">
        <f>MEDIAN('Tutte le stem'!N2:N9)</f>
        <v>34.799999999999997</v>
      </c>
      <c r="I3" s="3">
        <f>MEDIAN('Tutte le stem'!O2:O9)</f>
        <v>106.65</v>
      </c>
      <c r="J3" s="3">
        <f>MEDIAN('Tutte le stem'!P2:P9)</f>
        <v>1458.5</v>
      </c>
      <c r="K3" s="3">
        <f>MEDIAN('Tutte le stem'!Q2:Q9)</f>
        <v>53.650000000000006</v>
      </c>
      <c r="L3" s="3">
        <f>MEDIAN('Tutte le stem'!R2:R9)</f>
        <v>55.35</v>
      </c>
      <c r="M3" s="3">
        <f>MEDIAN('Tutte le stem'!S2:S9)</f>
        <v>65.550000000000011</v>
      </c>
      <c r="N3" s="3">
        <f>MEDIAN('Tutte le stem'!T2:T9)</f>
        <v>7.75</v>
      </c>
      <c r="O3" s="3">
        <f>MEDIAN('Tutte le stem'!U2:U9)</f>
        <v>22.95</v>
      </c>
      <c r="P3" s="3">
        <f>MEDIAN('Tutte le stem'!B2:B9)</f>
        <v>603</v>
      </c>
      <c r="Q3" s="3">
        <f>MEDIAN('Tutte le stem'!C2:C9)</f>
        <v>336</v>
      </c>
      <c r="R3" s="3">
        <f>MEDIAN('Tutte le stem'!D2:D9)</f>
        <v>68</v>
      </c>
      <c r="S3" s="3">
        <f>MEDIAN('Tutte le stem'!H2:H9)</f>
        <v>33.5</v>
      </c>
      <c r="T3" s="3">
        <f>MEDIAN('Tutte le stem'!I2:I9)</f>
        <v>66.5</v>
      </c>
      <c r="U3" s="3">
        <f>MEDIAN('Tutte le stem'!J2:J9)</f>
        <v>2.5</v>
      </c>
      <c r="V3" s="3">
        <f>MEDIAN('Tutte le stem'!V2:V9)</f>
        <v>26.8</v>
      </c>
      <c r="W3" s="3">
        <f>MEDIAN('Tutte le stem'!W2:W9)</f>
        <v>1537.5</v>
      </c>
      <c r="X3" s="3">
        <f>MEDIAN('Tutte le stem'!X2:X9)</f>
        <v>1411</v>
      </c>
      <c r="Y3" s="3">
        <f>MEDIAN('Tutte le stem'!Y2:Y9)</f>
        <v>21.8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 s="14" customFormat="1" x14ac:dyDescent="0.25">
      <c r="A4" s="15" t="s">
        <v>74</v>
      </c>
      <c r="B4" s="3">
        <f>MIN('Tutte le stem'!E2:E9)</f>
        <v>26.3</v>
      </c>
      <c r="C4" s="3">
        <f>MIN('Tutte le stem'!F2:F9)</f>
        <v>107.5</v>
      </c>
      <c r="D4" s="3">
        <f>MIN('Tutte le stem'!G2:G9)</f>
        <v>0.11</v>
      </c>
      <c r="E4" s="3">
        <f>MIN('Tutte le stem'!K2:K9)</f>
        <v>73.8</v>
      </c>
      <c r="F4" s="3">
        <f>MIN('Tutte le stem'!L2:L9)</f>
        <v>4.0999999999999996</v>
      </c>
      <c r="G4" s="3">
        <f>MIN('Tutte le stem'!M2:M9)</f>
        <v>16.7</v>
      </c>
      <c r="H4" s="3">
        <f>MIN('Tutte le stem'!N2:N9)</f>
        <v>25.4</v>
      </c>
      <c r="I4" s="3">
        <f>MIN('Tutte le stem'!O2:O9)</f>
        <v>93.1</v>
      </c>
      <c r="J4" s="3">
        <f>MIN('Tutte le stem'!P2:P9)</f>
        <v>1193</v>
      </c>
      <c r="K4" s="3">
        <f>MIN('Tutte le stem'!Q2:Q9)</f>
        <v>27.8</v>
      </c>
      <c r="L4" s="3">
        <f>MIN('Tutte le stem'!R2:R9)</f>
        <v>35.700000000000003</v>
      </c>
      <c r="M4" s="3">
        <f>MIN('Tutte le stem'!S2:S9)</f>
        <v>31.3</v>
      </c>
      <c r="N4" s="3">
        <f>MIN('Tutte le stem'!T2:T9)</f>
        <v>7.4</v>
      </c>
      <c r="O4" s="3">
        <f>MIN('Tutte le stem'!U2:U9)</f>
        <v>10.5</v>
      </c>
      <c r="P4" s="3">
        <f>MIN('Tutte le stem'!B2:B9)</f>
        <v>89</v>
      </c>
      <c r="Q4" s="3">
        <f>MIN('Tutte le stem'!C2:C9)</f>
        <v>42</v>
      </c>
      <c r="R4" s="3">
        <f>MIN('Tutte le stem'!D2:D9)</f>
        <v>59.2</v>
      </c>
      <c r="S4" s="3">
        <f>MIN('Tutte le stem'!H2:H9)</f>
        <v>18.3</v>
      </c>
      <c r="T4" s="3">
        <f>MIN('Tutte le stem'!I2:I9)</f>
        <v>47.9</v>
      </c>
      <c r="U4" s="3">
        <f>MIN('Tutte le stem'!J2:J9)</f>
        <v>2.4</v>
      </c>
      <c r="V4" s="3">
        <f>MIN('Tutte le stem'!V2:V9)</f>
        <v>16.7</v>
      </c>
      <c r="W4" s="3">
        <f>MIN('Tutte le stem'!W2:W9)</f>
        <v>1278</v>
      </c>
      <c r="X4" s="3">
        <f>MIN('Tutte le stem'!X2:X9)</f>
        <v>1121</v>
      </c>
      <c r="Y4" s="3">
        <f>MIN('Tutte le stem'!Y2:Y9)</f>
        <v>10.199999999999999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s="14" customFormat="1" x14ac:dyDescent="0.25">
      <c r="A5" s="15" t="s">
        <v>75</v>
      </c>
      <c r="B5" s="3">
        <f>MAX('Tutte le stem'!E2:E9)</f>
        <v>27.9</v>
      </c>
      <c r="C5" s="3">
        <f>MAX('Tutte le stem'!F2:F9)</f>
        <v>110.3</v>
      </c>
      <c r="D5" s="3">
        <f>MAX('Tutte le stem'!G2:G9)</f>
        <v>0.19</v>
      </c>
      <c r="E5" s="3">
        <f>MAX('Tutte le stem'!K2:K9)</f>
        <v>90.9</v>
      </c>
      <c r="F5" s="3">
        <f>MAX('Tutte le stem'!L2:L9)</f>
        <v>8.3000000000000007</v>
      </c>
      <c r="G5" s="3">
        <f>MAX('Tutte le stem'!M2:M9)</f>
        <v>54.2</v>
      </c>
      <c r="H5" s="3">
        <f>MAX('Tutte le stem'!N2:N9)</f>
        <v>39.1</v>
      </c>
      <c r="I5" s="3">
        <f>MAX('Tutte le stem'!O2:O9)</f>
        <v>244.5</v>
      </c>
      <c r="J5" s="3">
        <f>MAX('Tutte le stem'!P2:P9)</f>
        <v>1538</v>
      </c>
      <c r="K5" s="3">
        <f>MAX('Tutte le stem'!Q2:Q9)</f>
        <v>67.7</v>
      </c>
      <c r="L5" s="3">
        <f>MAX('Tutte le stem'!R2:R9)</f>
        <v>62.1</v>
      </c>
      <c r="M5" s="3">
        <f>MAX('Tutte le stem'!S2:S9)</f>
        <v>84.6</v>
      </c>
      <c r="N5" s="3">
        <f>MAX('Tutte le stem'!T2:T9)</f>
        <v>8.1999999999999993</v>
      </c>
      <c r="O5" s="3">
        <f>MAX('Tutte le stem'!U2:U9)</f>
        <v>47.6</v>
      </c>
      <c r="P5" s="3">
        <f>MAX('Tutte le stem'!B2:B9)</f>
        <v>3238</v>
      </c>
      <c r="Q5" s="3">
        <f>MAX('Tutte le stem'!C2:C9)</f>
        <v>1673</v>
      </c>
      <c r="R5" s="3">
        <f>MAX('Tutte le stem'!D2:D9)</f>
        <v>71.5</v>
      </c>
      <c r="S5" s="3">
        <f>MAX('Tutte le stem'!H2:H9)</f>
        <v>52.1</v>
      </c>
      <c r="T5" s="3">
        <f>MAX('Tutte le stem'!I2:I9)</f>
        <v>81.7</v>
      </c>
      <c r="U5" s="3">
        <f>MAX('Tutte le stem'!J2:J9)</f>
        <v>2.7</v>
      </c>
      <c r="V5" s="3">
        <f>MAX('Tutte le stem'!V2:V9)</f>
        <v>42.9</v>
      </c>
      <c r="W5" s="3">
        <f>MAX('Tutte le stem'!W2:W9)</f>
        <v>3250</v>
      </c>
      <c r="X5" s="3">
        <f>MAX('Tutte le stem'!X2:X9)</f>
        <v>1532</v>
      </c>
      <c r="Y5" s="3">
        <f>MAX('Tutte le stem'!Y2:Y9)</f>
        <v>31.2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s="14" customFormat="1" x14ac:dyDescent="0.25">
      <c r="A6" s="15" t="s">
        <v>76</v>
      </c>
      <c r="B6" s="23">
        <f>_xlfn.STDEV.P('Tutte le stem'!E2:E9)</f>
        <v>0.53370755100522915</v>
      </c>
      <c r="C6" s="23">
        <f>_xlfn.STDEV.P('Tutte le stem'!F2:F9)</f>
        <v>0.84696148082424538</v>
      </c>
      <c r="D6" s="23">
        <f>_xlfn.STDEV.P('Tutte le stem'!G2:G9)</f>
        <v>2.9764702249476638E-2</v>
      </c>
      <c r="E6" s="23">
        <f>_xlfn.STDEV.P('Tutte le stem'!K2:K9)</f>
        <v>5.2342024225281936</v>
      </c>
      <c r="F6" s="23">
        <f>_xlfn.STDEV.P('Tutte le stem'!L2:L9)</f>
        <v>1.2547410091329647</v>
      </c>
      <c r="G6" s="23">
        <f>_xlfn.STDEV.P('Tutte le stem'!M2:M9)</f>
        <v>14.786897705401225</v>
      </c>
      <c r="H6" s="23">
        <f>_xlfn.STDEV.P('Tutte le stem'!N2:N9)</f>
        <v>4.1867163445831626</v>
      </c>
      <c r="I6" s="23">
        <f>_xlfn.STDEV.P('Tutte le stem'!O2:O9)</f>
        <v>46.035337988875462</v>
      </c>
      <c r="J6" s="23">
        <f>_xlfn.STDEV.P('Tutte le stem'!P2:P9)</f>
        <v>102.7448295536082</v>
      </c>
      <c r="K6" s="23">
        <f>_xlfn.STDEV.P('Tutte le stem'!Q2:Q9)</f>
        <v>12.309929934812814</v>
      </c>
      <c r="L6" s="23">
        <f>_xlfn.STDEV.P('Tutte le stem'!R2:R9)</f>
        <v>9.0136615062914611</v>
      </c>
      <c r="M6" s="23">
        <f>_xlfn.STDEV.P('Tutte le stem'!S2:S9)</f>
        <v>15.735449628148565</v>
      </c>
      <c r="N6" s="23">
        <f>_xlfn.STDEV.P('Tutte le stem'!T2:T9)</f>
        <v>0.21758618981911493</v>
      </c>
      <c r="O6" s="23">
        <f>_xlfn.STDEV.P('Tutte le stem'!U2:U9)</f>
        <v>10.555804090641328</v>
      </c>
      <c r="P6" s="23">
        <f>_xlfn.STDEV.P('Tutte le stem'!B2:B9)</f>
        <v>974.81837250587353</v>
      </c>
      <c r="Q6" s="23">
        <f>_xlfn.STDEV.P('Tutte le stem'!C2:C9)</f>
        <v>503.45922128808007</v>
      </c>
      <c r="R6" s="23">
        <f>_xlfn.STDEV.P('Tutte le stem'!D2:D9)</f>
        <v>3.9337482125830063</v>
      </c>
      <c r="S6" s="23">
        <f>_xlfn.STDEV.P('Tutte le stem'!H2:H9)</f>
        <v>12.260703232278324</v>
      </c>
      <c r="T6" s="23">
        <f>_xlfn.STDEV.P('Tutte le stem'!I2:I9)</f>
        <v>12.260703232278304</v>
      </c>
      <c r="U6" s="23">
        <f>_xlfn.STDEV.P('Tutte le stem'!J2:J9)</f>
        <v>0.1000000000000001</v>
      </c>
      <c r="V6" s="23">
        <f>_xlfn.STDEV.P('Tutte le stem'!V2:V9)</f>
        <v>7.9670316774819154</v>
      </c>
      <c r="W6" s="23">
        <f>_xlfn.STDEV.P('Tutte le stem'!W2:W9)</f>
        <v>591.17614496442593</v>
      </c>
      <c r="X6" s="23">
        <f>_xlfn.STDEV.P('Tutte le stem'!X2:X9)</f>
        <v>121.79670562047235</v>
      </c>
      <c r="Y6" s="23">
        <f>_xlfn.STDEV.P('Tutte le stem'!Y2:Y9)</f>
        <v>6.7631353675643631</v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2" s="14" customFormat="1" x14ac:dyDescent="0.25">
      <c r="A7" s="15" t="s">
        <v>77</v>
      </c>
      <c r="B7" s="4">
        <f>B6/B2</f>
        <v>1.9886634411000623E-2</v>
      </c>
      <c r="C7" s="4">
        <f t="shared" ref="C7:Y7" si="0">C6/C2</f>
        <v>7.7516209204827411E-3</v>
      </c>
      <c r="D7" s="4">
        <f t="shared" si="0"/>
        <v>0.20009883865194381</v>
      </c>
      <c r="E7" s="4">
        <f t="shared" si="0"/>
        <v>6.0774483860994988E-2</v>
      </c>
      <c r="F7" s="4">
        <f t="shared" si="0"/>
        <v>0.20999849525237904</v>
      </c>
      <c r="G7" s="4">
        <f t="shared" si="0"/>
        <v>0.42814036063412886</v>
      </c>
      <c r="H7" s="4">
        <f t="shared" si="0"/>
        <v>0.12139808175667016</v>
      </c>
      <c r="I7" s="4">
        <f t="shared" si="0"/>
        <v>0.3722659495714179</v>
      </c>
      <c r="J7" s="4">
        <f t="shared" si="0"/>
        <v>7.1824417723598877E-2</v>
      </c>
      <c r="K7" s="4">
        <f t="shared" si="0"/>
        <v>0.2483092271268344</v>
      </c>
      <c r="L7" s="4">
        <f t="shared" si="0"/>
        <v>0.17296544027424249</v>
      </c>
      <c r="M7" s="4">
        <f t="shared" si="0"/>
        <v>0.25492830503278358</v>
      </c>
      <c r="N7" s="4">
        <f t="shared" si="0"/>
        <v>2.8030427029837674E-2</v>
      </c>
      <c r="O7" s="4">
        <f t="shared" si="0"/>
        <v>0.40136137226773111</v>
      </c>
      <c r="P7" s="4">
        <f t="shared" si="0"/>
        <v>1.0951477292581082</v>
      </c>
      <c r="Q7" s="4">
        <f t="shared" si="0"/>
        <v>1.0832904169727382</v>
      </c>
      <c r="R7" s="4">
        <f t="shared" si="0"/>
        <v>5.8822403178811308E-2</v>
      </c>
      <c r="S7" s="4">
        <f t="shared" si="0"/>
        <v>0.35499683625851097</v>
      </c>
      <c r="T7" s="4">
        <f t="shared" si="0"/>
        <v>0.18729353801456258</v>
      </c>
      <c r="U7" s="4">
        <f t="shared" si="0"/>
        <v>3.9215686274509838E-2</v>
      </c>
      <c r="V7" s="4">
        <f t="shared" si="0"/>
        <v>0.27651303002106437</v>
      </c>
      <c r="W7" s="4">
        <f t="shared" si="0"/>
        <v>0.34660382262480083</v>
      </c>
      <c r="X7" s="4">
        <f t="shared" si="0"/>
        <v>8.7481921795993789E-2</v>
      </c>
      <c r="Y7" s="4">
        <f t="shared" si="0"/>
        <v>0.31751809237391376</v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 spans="1:52" s="14" customFormat="1" x14ac:dyDescent="0.25">
      <c r="A8" s="15" t="s">
        <v>78</v>
      </c>
      <c r="B8" s="5">
        <f>QUARTILE('Tutte le stem'!E2:E9,1)</f>
        <v>26.3</v>
      </c>
      <c r="C8" s="5">
        <f>QUARTILE('Tutte le stem'!F2:F9,1)</f>
        <v>108.97499999999999</v>
      </c>
      <c r="D8" s="5">
        <f>QUARTILE('Tutte le stem'!G2:G9,1)</f>
        <v>0.125</v>
      </c>
      <c r="E8" s="5">
        <f>QUARTILE('Tutte le stem'!K2:K9,1)</f>
        <v>84.3</v>
      </c>
      <c r="F8" s="5">
        <f>QUARTILE('Tutte le stem'!L2:L9,1)</f>
        <v>5.0999999999999996</v>
      </c>
      <c r="G8" s="5">
        <f>QUARTILE('Tutte le stem'!M2:M9,1)</f>
        <v>17.824999999999999</v>
      </c>
      <c r="H8" s="5">
        <f>QUARTILE('Tutte le stem'!N2:N9,1)</f>
        <v>32.774999999999999</v>
      </c>
      <c r="I8" s="5">
        <f>QUARTILE('Tutte le stem'!O2:O9,1)</f>
        <v>106.25</v>
      </c>
      <c r="J8" s="5">
        <f>QUARTILE('Tutte le stem'!P2:P9,1)</f>
        <v>1396</v>
      </c>
      <c r="K8" s="5">
        <f>QUARTILE('Tutte le stem'!Q2:Q9,1)</f>
        <v>41.325000000000003</v>
      </c>
      <c r="L8" s="5">
        <f>QUARTILE('Tutte le stem'!R2:R9,1)</f>
        <v>49.55</v>
      </c>
      <c r="M8" s="5">
        <f>QUARTILE('Tutte le stem'!S2:S9,1)</f>
        <v>54.225000000000001</v>
      </c>
      <c r="N8" s="5">
        <f>QUARTILE('Tutte le stem'!T2:T9,1)</f>
        <v>7.6749999999999998</v>
      </c>
      <c r="O8" s="5">
        <f>QUARTILE('Tutte le stem'!U2:U9,1)</f>
        <v>20.375</v>
      </c>
      <c r="P8" s="5">
        <f>QUARTILE('Tutte le stem'!B2:B9,1)</f>
        <v>207</v>
      </c>
      <c r="Q8" s="5">
        <f>QUARTILE('Tutte le stem'!C2:C9,1)</f>
        <v>102.75</v>
      </c>
      <c r="R8" s="5">
        <f>QUARTILE('Tutte le stem'!D2:D9,1)</f>
        <v>66.075000000000003</v>
      </c>
      <c r="S8" s="5">
        <f>QUARTILE('Tutte le stem'!H2:H9,1)</f>
        <v>25.274999999999999</v>
      </c>
      <c r="T8" s="5">
        <f>QUARTILE('Tutte le stem'!I2:I9,1)</f>
        <v>56.15</v>
      </c>
      <c r="U8" s="5">
        <f>QUARTILE('Tutte le stem'!J2:J9,1)</f>
        <v>2.5</v>
      </c>
      <c r="V8" s="5">
        <f>QUARTILE('Tutte le stem'!V2:V9,1)</f>
        <v>23.925000000000001</v>
      </c>
      <c r="W8" s="5">
        <f>QUARTILE('Tutte le stem'!W2:W9,1)</f>
        <v>1450.75</v>
      </c>
      <c r="X8" s="5">
        <f>QUARTILE('Tutte le stem'!X2:X9,1)</f>
        <v>1356</v>
      </c>
      <c r="Y8" s="5">
        <f>QUARTILE('Tutte le stem'!Y2:Y9,1)</f>
        <v>16.5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s="14" customFormat="1" x14ac:dyDescent="0.25">
      <c r="A9" s="15" t="s">
        <v>79</v>
      </c>
      <c r="B9" s="5">
        <f>QUARTILE('Tutte le stem'!E2:E9,3)</f>
        <v>27.125</v>
      </c>
      <c r="C9" s="5">
        <f>QUARTILE('Tutte le stem'!F2:F9,3)</f>
        <v>109.85</v>
      </c>
      <c r="D9" s="5">
        <f>QUARTILE('Tutte le stem'!G2:G9,3)</f>
        <v>0.18</v>
      </c>
      <c r="E9" s="5">
        <f>QUARTILE('Tutte le stem'!K2:K9,3)</f>
        <v>89.625</v>
      </c>
      <c r="F9" s="5">
        <f>QUARTILE('Tutte le stem'!L2:L9,3)</f>
        <v>6.7249999999999996</v>
      </c>
      <c r="G9" s="5">
        <f>QUARTILE('Tutte le stem'!M2:M9,3)</f>
        <v>46.924999999999997</v>
      </c>
      <c r="H9" s="5">
        <f>QUARTILE('Tutte le stem'!N2:N9,3)</f>
        <v>38.225000000000001</v>
      </c>
      <c r="I9" s="5">
        <f>QUARTILE('Tutte le stem'!O2:O9,3)</f>
        <v>112.5</v>
      </c>
      <c r="J9" s="5">
        <f>QUARTILE('Tutte le stem'!P2:P9,3)</f>
        <v>1498</v>
      </c>
      <c r="K9" s="5">
        <f>QUARTILE('Tutte le stem'!Q2:Q9,3)</f>
        <v>55.924999999999997</v>
      </c>
      <c r="L9" s="5">
        <f>QUARTILE('Tutte le stem'!R2:R9,3)</f>
        <v>57.85</v>
      </c>
      <c r="M9" s="5">
        <f>QUARTILE('Tutte le stem'!S2:S9,3)</f>
        <v>71.174999999999997</v>
      </c>
      <c r="N9" s="5">
        <f>QUARTILE('Tutte le stem'!T2:T9,3)</f>
        <v>7.8250000000000002</v>
      </c>
      <c r="O9" s="5">
        <f>QUARTILE('Tutte le stem'!U2:U9,3)</f>
        <v>31.824999999999999</v>
      </c>
      <c r="P9" s="5">
        <f>QUARTILE('Tutte le stem'!B2:B9,3)</f>
        <v>1052</v>
      </c>
      <c r="Q9" s="5">
        <f>QUARTILE('Tutte le stem'!C2:C9,3)</f>
        <v>547.5</v>
      </c>
      <c r="R9" s="5">
        <f>QUARTILE('Tutte le stem'!D2:D9,3)</f>
        <v>69.2</v>
      </c>
      <c r="S9" s="5">
        <f>QUARTILE('Tutte le stem'!H2:H9,3)</f>
        <v>43.85</v>
      </c>
      <c r="T9" s="5">
        <f>QUARTILE('Tutte le stem'!I2:I9,3)</f>
        <v>74.724999999999994</v>
      </c>
      <c r="U9" s="5">
        <f>QUARTILE('Tutte le stem'!J2:J9,3)</f>
        <v>2.625</v>
      </c>
      <c r="V9" s="5">
        <f>QUARTILE('Tutte le stem'!V2:V9,3)</f>
        <v>33.200000000000003</v>
      </c>
      <c r="W9" s="5">
        <f>QUARTILE('Tutte le stem'!W2:W9,3)</f>
        <v>1575.25</v>
      </c>
      <c r="X9" s="5">
        <f>QUARTILE('Tutte le stem'!X2:X9,3)</f>
        <v>1481.75</v>
      </c>
      <c r="Y9" s="5">
        <f>QUARTILE('Tutte le stem'!Y2:Y9,3)</f>
        <v>26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 spans="1:52" x14ac:dyDescent="0.25">
      <c r="A10"/>
    </row>
    <row r="11" spans="1:52" s="34" customFormat="1" x14ac:dyDescent="0.25">
      <c r="A11" s="2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 s="32" customFormat="1" x14ac:dyDescent="0.25">
      <c r="A12" s="30" t="s">
        <v>82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s="14" customFormat="1" x14ac:dyDescent="0.25">
      <c r="A13" s="15" t="s">
        <v>72</v>
      </c>
      <c r="B13" s="23">
        <f>AVERAGE('Tutte le stem'!E10:E15)</f>
        <v>26.833333333333332</v>
      </c>
      <c r="C13" s="23">
        <f>AVERAGE('Tutte le stem'!F10:F15)</f>
        <v>107.91666666666667</v>
      </c>
      <c r="D13" s="23">
        <f>AVERAGE('Tutte le stem'!G10:G15)</f>
        <v>0.23166666666666669</v>
      </c>
      <c r="E13" s="23">
        <f>AVERAGE('Tutte le stem'!K10:K15)</f>
        <v>92</v>
      </c>
      <c r="F13" s="23">
        <f>AVERAGE('Tutte le stem'!L10:L15)</f>
        <v>3.4666666666666668</v>
      </c>
      <c r="G13" s="23">
        <f>AVERAGE('Tutte le stem'!M10:M15)</f>
        <v>60.900000000000006</v>
      </c>
      <c r="H13" s="23">
        <f>AVERAGE('Tutte le stem'!N10:N15)</f>
        <v>39.266666666666666</v>
      </c>
      <c r="I13" s="23">
        <f>AVERAGE('Tutte le stem'!O10:O15)</f>
        <v>107.05000000000001</v>
      </c>
      <c r="J13" s="23">
        <f>AVERAGE('Tutte le stem'!P10:P15)</f>
        <v>1600.8333333333333</v>
      </c>
      <c r="K13" s="23">
        <f>AVERAGE('Tutte le stem'!Q10:Q15)</f>
        <v>51.31666666666667</v>
      </c>
      <c r="L13" s="23">
        <f>AVERAGE('Tutte le stem'!R10:R15)</f>
        <v>59.75</v>
      </c>
      <c r="M13" s="23">
        <f>AVERAGE('Tutte le stem'!S10:S15)</f>
        <v>60.433333333333337</v>
      </c>
      <c r="N13" s="23">
        <f>AVERAGE('Tutte le stem'!T10:T15)</f>
        <v>7.7</v>
      </c>
      <c r="O13" s="23">
        <f>AVERAGE('Tutte le stem'!U10:U15)</f>
        <v>21.166666666666668</v>
      </c>
      <c r="P13" s="23">
        <f>AVERAGE('Tutte le stem'!B10:B15)</f>
        <v>468.83333333333331</v>
      </c>
      <c r="Q13" s="23">
        <f>AVERAGE('Tutte le stem'!C10:C15)</f>
        <v>242.66666666666666</v>
      </c>
      <c r="R13" s="23">
        <f>AVERAGE('Tutte le stem'!D10:D15)</f>
        <v>71.333333333333329</v>
      </c>
      <c r="S13" s="23">
        <f>AVERAGE('Tutte le stem'!H10:H15)</f>
        <v>60.35</v>
      </c>
      <c r="T13" s="23">
        <f>AVERAGE('Tutte le stem'!I10:I15)</f>
        <v>39.65</v>
      </c>
      <c r="U13" s="23">
        <f>AVERAGE('Tutte le stem'!J10:J15)</f>
        <v>2.7333333333333329</v>
      </c>
      <c r="V13" s="23">
        <f>AVERAGE('Tutte le stem'!V10:V15)</f>
        <v>55.133333333333333</v>
      </c>
      <c r="W13" s="23">
        <f>AVERAGE('Tutte le stem'!W10:W15)</f>
        <v>1639.1666666666667</v>
      </c>
      <c r="X13" s="23">
        <f>AVERAGE('Tutte le stem'!X10:X15)</f>
        <v>1533.6666666666667</v>
      </c>
      <c r="Y13" s="23">
        <f>AVERAGE('Tutte le stem'!Y10:Y15)</f>
        <v>30.416666666666668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14" customFormat="1" x14ac:dyDescent="0.25">
      <c r="A14" s="15" t="s">
        <v>73</v>
      </c>
      <c r="B14" s="3">
        <f>MEDIAN('Tutte le stem'!E10:E15)</f>
        <v>26.95</v>
      </c>
      <c r="C14" s="3">
        <f>MEDIAN('Tutte le stem'!F10:F15)</f>
        <v>107.9</v>
      </c>
      <c r="D14" s="3">
        <f>MEDIAN('Tutte le stem'!G10:G15)</f>
        <v>0.20500000000000002</v>
      </c>
      <c r="E14" s="3">
        <f>MEDIAN('Tutte le stem'!K10:K15)</f>
        <v>93.050000000000011</v>
      </c>
      <c r="F14" s="3">
        <f>MEDIAN('Tutte le stem'!L10:L15)</f>
        <v>3.3499999999999996</v>
      </c>
      <c r="G14" s="3">
        <f>MEDIAN('Tutte le stem'!M10:M15)</f>
        <v>69.25</v>
      </c>
      <c r="H14" s="3">
        <f>MEDIAN('Tutte le stem'!N10:N15)</f>
        <v>40.700000000000003</v>
      </c>
      <c r="I14" s="3">
        <f>MEDIAN('Tutte le stem'!O10:O15)</f>
        <v>108.75</v>
      </c>
      <c r="J14" s="3">
        <f>MEDIAN('Tutte le stem'!P10:P15)</f>
        <v>1590.5</v>
      </c>
      <c r="K14" s="3">
        <f>MEDIAN('Tutte le stem'!Q10:Q15)</f>
        <v>50.400000000000006</v>
      </c>
      <c r="L14" s="3">
        <f>MEDIAN('Tutte le stem'!R10:R15)</f>
        <v>57.75</v>
      </c>
      <c r="M14" s="3">
        <f>MEDIAN('Tutte le stem'!S10:S15)</f>
        <v>61.2</v>
      </c>
      <c r="N14" s="3">
        <f>MEDIAN('Tutte le stem'!T10:T15)</f>
        <v>7.7</v>
      </c>
      <c r="O14" s="3">
        <f>MEDIAN('Tutte le stem'!U10:U15)</f>
        <v>22.1</v>
      </c>
      <c r="P14" s="3">
        <f>MEDIAN('Tutte le stem'!B10:B15)</f>
        <v>410</v>
      </c>
      <c r="Q14" s="3">
        <f>MEDIAN('Tutte le stem'!C10:C15)</f>
        <v>220</v>
      </c>
      <c r="R14" s="3">
        <f>MEDIAN('Tutte le stem'!D10:D15)</f>
        <v>71.150000000000006</v>
      </c>
      <c r="S14" s="3">
        <f>MEDIAN('Tutte le stem'!H10:H15)</f>
        <v>59.1</v>
      </c>
      <c r="T14" s="3">
        <f>MEDIAN('Tutte le stem'!I10:I15)</f>
        <v>40.9</v>
      </c>
      <c r="U14" s="3">
        <f>MEDIAN('Tutte le stem'!J10:J15)</f>
        <v>2.7</v>
      </c>
      <c r="V14" s="3">
        <f>MEDIAN('Tutte le stem'!V10:V15)</f>
        <v>56.599999999999994</v>
      </c>
      <c r="W14" s="3">
        <f>MEDIAN('Tutte le stem'!W10:W15)</f>
        <v>1605</v>
      </c>
      <c r="X14" s="3">
        <f>MEDIAN('Tutte le stem'!X10:X15)</f>
        <v>1583</v>
      </c>
      <c r="Y14" s="3">
        <f>MEDIAN('Tutte le stem'!Y10:Y15)</f>
        <v>29.3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s="14" customFormat="1" x14ac:dyDescent="0.25">
      <c r="A15" s="15" t="s">
        <v>74</v>
      </c>
      <c r="B15" s="3">
        <f>MIN('Tutte le stem'!E10:E15)</f>
        <v>26.1</v>
      </c>
      <c r="C15" s="3">
        <f>MIN('Tutte le stem'!F10:F15)</f>
        <v>105.5</v>
      </c>
      <c r="D15" s="3">
        <f>MIN('Tutte le stem'!G10:G15)</f>
        <v>0.15</v>
      </c>
      <c r="E15" s="3">
        <f>MIN('Tutte le stem'!K10:K15)</f>
        <v>84.3</v>
      </c>
      <c r="F15" s="3">
        <f>MIN('Tutte le stem'!L10:L15)</f>
        <v>1.9</v>
      </c>
      <c r="G15" s="3">
        <f>MIN('Tutte le stem'!M10:M15)</f>
        <v>35.299999999999997</v>
      </c>
      <c r="H15" s="3">
        <f>MIN('Tutte le stem'!N10:N15)</f>
        <v>34.5</v>
      </c>
      <c r="I15" s="3">
        <f>MIN('Tutte le stem'!O10:O15)</f>
        <v>94</v>
      </c>
      <c r="J15" s="3">
        <f>MIN('Tutte le stem'!P10:P15)</f>
        <v>1387</v>
      </c>
      <c r="K15" s="3">
        <f>MIN('Tutte le stem'!Q10:Q15)</f>
        <v>44.1</v>
      </c>
      <c r="L15" s="3">
        <f>MIN('Tutte le stem'!R10:R15)</f>
        <v>50</v>
      </c>
      <c r="M15" s="3">
        <f>MIN('Tutte le stem'!S10:S15)</f>
        <v>51.4</v>
      </c>
      <c r="N15" s="3">
        <f>MIN('Tutte le stem'!T10:T15)</f>
        <v>7.6</v>
      </c>
      <c r="O15" s="3">
        <f>MIN('Tutte le stem'!U10:U15)</f>
        <v>13.4</v>
      </c>
      <c r="P15" s="3">
        <f>MIN('Tutte le stem'!B10:B15)</f>
        <v>210</v>
      </c>
      <c r="Q15" s="3">
        <f>MIN('Tutte le stem'!C10:C15)</f>
        <v>143</v>
      </c>
      <c r="R15" s="3">
        <f>MIN('Tutte le stem'!D10:D15)</f>
        <v>63.5</v>
      </c>
      <c r="S15" s="3">
        <f>MIN('Tutte le stem'!H10:H15)</f>
        <v>47.2</v>
      </c>
      <c r="T15" s="3">
        <f>MIN('Tutte le stem'!I10:I15)</f>
        <v>18.100000000000001</v>
      </c>
      <c r="U15" s="3">
        <f>MIN('Tutte le stem'!J10:J15)</f>
        <v>2.5</v>
      </c>
      <c r="V15" s="3">
        <f>MIN('Tutte le stem'!V10:V15)</f>
        <v>26.7</v>
      </c>
      <c r="W15" s="3">
        <f>MIN('Tutte le stem'!W10:W15)</f>
        <v>1443</v>
      </c>
      <c r="X15" s="3">
        <f>MIN('Tutte le stem'!X10:X15)</f>
        <v>1304</v>
      </c>
      <c r="Y15" s="3">
        <f>MIN('Tutte le stem'!Y10:Y15)</f>
        <v>25.9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s="14" customFormat="1" x14ac:dyDescent="0.25">
      <c r="A16" s="15" t="s">
        <v>75</v>
      </c>
      <c r="B16" s="3">
        <f>MAX('Tutte le stem'!E10:E15)</f>
        <v>27.4</v>
      </c>
      <c r="C16" s="3">
        <f>MAX('Tutte le stem'!F10:F15)</f>
        <v>110</v>
      </c>
      <c r="D16" s="3">
        <f>MAX('Tutte le stem'!G10:G15)</f>
        <v>0.36</v>
      </c>
      <c r="E16" s="3">
        <f>MAX('Tutte le stem'!K10:K15)</f>
        <v>97.2</v>
      </c>
      <c r="F16" s="3">
        <f>MAX('Tutte le stem'!L10:L15)</f>
        <v>5.4</v>
      </c>
      <c r="G16" s="3">
        <f>MAX('Tutte le stem'!M10:M15)</f>
        <v>77.2</v>
      </c>
      <c r="H16" s="3">
        <f>MAX('Tutte le stem'!N10:N15)</f>
        <v>41.1</v>
      </c>
      <c r="I16" s="3">
        <f>MAX('Tutte le stem'!O10:O15)</f>
        <v>112.8</v>
      </c>
      <c r="J16" s="3">
        <f>MAX('Tutte le stem'!P10:P15)</f>
        <v>1873</v>
      </c>
      <c r="K16" s="3">
        <f>MAX('Tutte le stem'!Q10:Q15)</f>
        <v>63.2</v>
      </c>
      <c r="L16" s="3">
        <f>MAX('Tutte le stem'!R10:R15)</f>
        <v>71.599999999999994</v>
      </c>
      <c r="M16" s="3">
        <f>MAX('Tutte le stem'!S10:S15)</f>
        <v>66</v>
      </c>
      <c r="N16" s="3">
        <f>MAX('Tutte le stem'!T10:T15)</f>
        <v>7.8</v>
      </c>
      <c r="O16" s="3">
        <f>MAX('Tutte le stem'!U10:U15)</f>
        <v>27.4</v>
      </c>
      <c r="P16" s="3">
        <f>MAX('Tutte le stem'!B10:B15)</f>
        <v>840</v>
      </c>
      <c r="Q16" s="3">
        <f>MAX('Tutte le stem'!C10:C15)</f>
        <v>369</v>
      </c>
      <c r="R16" s="3">
        <f>MAX('Tutte le stem'!D10:D15)</f>
        <v>85.1</v>
      </c>
      <c r="S16" s="3">
        <f>MAX('Tutte le stem'!H10:H15)</f>
        <v>81.900000000000006</v>
      </c>
      <c r="T16" s="3">
        <f>MAX('Tutte le stem'!I10:I15)</f>
        <v>52.8</v>
      </c>
      <c r="U16" s="3">
        <f>MAX('Tutte le stem'!J10:J15)</f>
        <v>3</v>
      </c>
      <c r="V16" s="3">
        <f>MAX('Tutte le stem'!V10:V15)</f>
        <v>79.599999999999994</v>
      </c>
      <c r="W16" s="3">
        <f>MAX('Tutte le stem'!W10:W15)</f>
        <v>1902</v>
      </c>
      <c r="X16" s="3">
        <f>MAX('Tutte le stem'!X10:X15)</f>
        <v>1715</v>
      </c>
      <c r="Y16" s="3">
        <f>MAX('Tutte le stem'!Y10:Y15)</f>
        <v>40.700000000000003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s="14" customFormat="1" x14ac:dyDescent="0.25">
      <c r="A17" s="15" t="s">
        <v>76</v>
      </c>
      <c r="B17" s="23">
        <f>_xlfn.STDEV.P('Tutte le stem'!E10:E15)</f>
        <v>0.44969125210773414</v>
      </c>
      <c r="C17" s="23">
        <f>_xlfn.STDEV.P('Tutte le stem'!F10:F15)</f>
        <v>1.3692049599027241</v>
      </c>
      <c r="D17" s="23">
        <f>_xlfn.STDEV.P('Tutte le stem'!G10:G15)</f>
        <v>7.733405172080117E-2</v>
      </c>
      <c r="E17" s="23">
        <f>_xlfn.STDEV.P('Tutte le stem'!K10:K15)</f>
        <v>4.8692915295759418</v>
      </c>
      <c r="F17" s="23">
        <f>_xlfn.STDEV.P('Tutte le stem'!L10:L15)</f>
        <v>1.3059692016106486</v>
      </c>
      <c r="G17" s="23">
        <f>_xlfn.STDEV.P('Tutte le stem'!M10:M15)</f>
        <v>17.909773867919149</v>
      </c>
      <c r="H17" s="23">
        <f>_xlfn.STDEV.P('Tutte le stem'!N10:N15)</f>
        <v>2.4260163963905024</v>
      </c>
      <c r="I17" s="23">
        <f>_xlfn.STDEV.P('Tutte le stem'!O10:O15)</f>
        <v>6.1097599516402168</v>
      </c>
      <c r="J17" s="23">
        <f>_xlfn.STDEV.P('Tutte le stem'!P10:P15)</f>
        <v>177.73427419105809</v>
      </c>
      <c r="K17" s="23">
        <f>_xlfn.STDEV.P('Tutte le stem'!Q10:Q15)</f>
        <v>6.7533736425252773</v>
      </c>
      <c r="L17" s="23">
        <f>_xlfn.STDEV.P('Tutte le stem'!R10:R15)</f>
        <v>6.9918404825434131</v>
      </c>
      <c r="M17" s="23">
        <f>_xlfn.STDEV.P('Tutte le stem'!S10:S15)</f>
        <v>4.671426144361293</v>
      </c>
      <c r="N17" s="23">
        <f>_xlfn.STDEV.P('Tutte le stem'!T10:T15)</f>
        <v>8.1649658092772678E-2</v>
      </c>
      <c r="O17" s="23">
        <f>_xlfn.STDEV.P('Tutte le stem'!U10:U15)</f>
        <v>5.1989315141564241</v>
      </c>
      <c r="P17" s="23">
        <f>_xlfn.STDEV.P('Tutte le stem'!B10:B15)</f>
        <v>217.45836127610474</v>
      </c>
      <c r="Q17" s="23">
        <f>_xlfn.STDEV.P('Tutte le stem'!C10:C15)</f>
        <v>93.631666058491604</v>
      </c>
      <c r="R17" s="23">
        <f>_xlfn.STDEV.P('Tutte le stem'!D10:D15)</f>
        <v>7.2674311524468651</v>
      </c>
      <c r="S17" s="23">
        <f>_xlfn.STDEV.P('Tutte le stem'!H10:H15)</f>
        <v>11.126058002125728</v>
      </c>
      <c r="T17" s="23">
        <f>_xlfn.STDEV.P('Tutte le stem'!I10:I15)</f>
        <v>11.126058002125747</v>
      </c>
      <c r="U17" s="23">
        <f>_xlfn.STDEV.P('Tutte le stem'!J10:J15)</f>
        <v>0.16996731711975946</v>
      </c>
      <c r="V17" s="23">
        <f>_xlfn.STDEV.P('Tutte le stem'!V10:V15)</f>
        <v>22.119046593879716</v>
      </c>
      <c r="W17" s="23">
        <f>_xlfn.STDEV.P('Tutte le stem'!W10:W15)</f>
        <v>179.99945987573284</v>
      </c>
      <c r="X17" s="23">
        <f>_xlfn.STDEV.P('Tutte le stem'!X10:X15)</f>
        <v>161.72164013788907</v>
      </c>
      <c r="Y17" s="23">
        <f>_xlfn.STDEV.P('Tutte le stem'!Y10:Y15)</f>
        <v>4.8447279478716778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s="14" customFormat="1" x14ac:dyDescent="0.25">
      <c r="A18" s="15" t="s">
        <v>77</v>
      </c>
      <c r="B18" s="4">
        <f>B17/B13</f>
        <v>1.6758680202772703E-2</v>
      </c>
      <c r="C18" s="4">
        <f t="shared" ref="C18:Y18" si="1">C17/C13</f>
        <v>1.268761352805613E-2</v>
      </c>
      <c r="D18" s="4">
        <f t="shared" si="1"/>
        <v>0.33381605059338632</v>
      </c>
      <c r="E18" s="4">
        <f t="shared" si="1"/>
        <v>5.2927081843216761E-2</v>
      </c>
      <c r="F18" s="4">
        <f t="shared" si="1"/>
        <v>0.37672188507999477</v>
      </c>
      <c r="G18" s="4">
        <f t="shared" si="1"/>
        <v>0.29408495678028157</v>
      </c>
      <c r="H18" s="4">
        <f t="shared" si="1"/>
        <v>6.1783100077856597E-2</v>
      </c>
      <c r="I18" s="4">
        <f t="shared" si="1"/>
        <v>5.7073890253528409E-2</v>
      </c>
      <c r="J18" s="4">
        <f t="shared" si="1"/>
        <v>0.11102609527812063</v>
      </c>
      <c r="K18" s="4">
        <f t="shared" si="1"/>
        <v>0.13160195470981378</v>
      </c>
      <c r="L18" s="4">
        <f t="shared" si="1"/>
        <v>0.11701825075386466</v>
      </c>
      <c r="M18" s="4">
        <f t="shared" si="1"/>
        <v>7.7298833056171412E-2</v>
      </c>
      <c r="N18" s="4">
        <f t="shared" si="1"/>
        <v>1.0603851700360089E-2</v>
      </c>
      <c r="O18" s="4">
        <f t="shared" si="1"/>
        <v>0.24561881169242947</v>
      </c>
      <c r="P18" s="4">
        <f t="shared" si="1"/>
        <v>0.46382871228461731</v>
      </c>
      <c r="Q18" s="4">
        <f t="shared" si="1"/>
        <v>0.38584477771356429</v>
      </c>
      <c r="R18" s="4">
        <f t="shared" si="1"/>
        <v>0.10187987596888129</v>
      </c>
      <c r="S18" s="4">
        <f t="shared" si="1"/>
        <v>0.18435887327465994</v>
      </c>
      <c r="T18" s="4">
        <f t="shared" si="1"/>
        <v>0.28060675919610967</v>
      </c>
      <c r="U18" s="4">
        <f t="shared" si="1"/>
        <v>6.2183164799912004E-2</v>
      </c>
      <c r="V18" s="4">
        <f t="shared" si="1"/>
        <v>0.40119189710785458</v>
      </c>
      <c r="W18" s="4">
        <f t="shared" si="1"/>
        <v>0.10981156677726456</v>
      </c>
      <c r="X18" s="4">
        <f t="shared" si="1"/>
        <v>0.10544771145700221</v>
      </c>
      <c r="Y18" s="4">
        <f t="shared" si="1"/>
        <v>0.15927872705331542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 s="14" customFormat="1" x14ac:dyDescent="0.25">
      <c r="A19" s="15" t="s">
        <v>78</v>
      </c>
      <c r="B19" s="23">
        <f>QUARTILE('Tutte le stem'!E10:E15,1)</f>
        <v>26.524999999999999</v>
      </c>
      <c r="C19" s="23">
        <f>QUARTILE('Tutte le stem'!F10:F15,1)</f>
        <v>107.5</v>
      </c>
      <c r="D19" s="23">
        <f>QUARTILE('Tutte le stem'!G10:G15,1)</f>
        <v>0.17</v>
      </c>
      <c r="E19" s="23">
        <f>QUARTILE('Tutte le stem'!K10:K15,1)</f>
        <v>88.325000000000003</v>
      </c>
      <c r="F19" s="23">
        <f>QUARTILE('Tutte le stem'!L10:L15,1)</f>
        <v>2.3000000000000003</v>
      </c>
      <c r="G19" s="23">
        <f>QUARTILE('Tutte le stem'!M10:M15,1)</f>
        <v>44.05</v>
      </c>
      <c r="H19" s="23">
        <f>QUARTILE('Tutte le stem'!N10:N15,1)</f>
        <v>38.450000000000003</v>
      </c>
      <c r="I19" s="23">
        <f>QUARTILE('Tutte le stem'!O10:O15,1)</f>
        <v>107.5</v>
      </c>
      <c r="J19" s="23">
        <f>QUARTILE('Tutte le stem'!P10:P15,1)</f>
        <v>1437.5</v>
      </c>
      <c r="K19" s="23">
        <f>QUARTILE('Tutte le stem'!Q10:Q15,1)</f>
        <v>45.2</v>
      </c>
      <c r="L19" s="23">
        <f>QUARTILE('Tutte le stem'!R10:R15,1)</f>
        <v>56.274999999999999</v>
      </c>
      <c r="M19" s="23">
        <f>QUARTILE('Tutte le stem'!S10:S15,1)</f>
        <v>59.175000000000004</v>
      </c>
      <c r="N19" s="23">
        <f>QUARTILE('Tutte le stem'!T10:T15,1)</f>
        <v>7.625</v>
      </c>
      <c r="O19" s="23">
        <f>QUARTILE('Tutte le stem'!U10:U15,1)</f>
        <v>16.925000000000001</v>
      </c>
      <c r="P19" s="23">
        <f>QUARTILE('Tutte le stem'!B10:B15,1)</f>
        <v>309.25</v>
      </c>
      <c r="Q19" s="23">
        <f>QUARTILE('Tutte le stem'!C10:C15,1)</f>
        <v>154.75</v>
      </c>
      <c r="R19" s="23">
        <f>QUARTILE('Tutte le stem'!D10:D15,1)</f>
        <v>65.275000000000006</v>
      </c>
      <c r="S19" s="23">
        <f>QUARTILE('Tutte le stem'!H10:H15,1)</f>
        <v>52.675000000000004</v>
      </c>
      <c r="T19" s="23">
        <f>QUARTILE('Tutte le stem'!I10:I15,1)</f>
        <v>37.024999999999999</v>
      </c>
      <c r="U19" s="23">
        <f>QUARTILE('Tutte le stem'!J10:J15,1)</f>
        <v>2.625</v>
      </c>
      <c r="V19" s="23">
        <f>QUARTILE('Tutte le stem'!V10:V15,1)</f>
        <v>35.774999999999999</v>
      </c>
      <c r="W19" s="23">
        <f>QUARTILE('Tutte le stem'!W10:W15,1)</f>
        <v>1475.25</v>
      </c>
      <c r="X19" s="23">
        <f>QUARTILE('Tutte le stem'!X10:X15,1)</f>
        <v>1391.75</v>
      </c>
      <c r="Y19" s="23">
        <f>QUARTILE('Tutte le stem'!Y10:Y15,1)</f>
        <v>27.45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s="14" customFormat="1" x14ac:dyDescent="0.25">
      <c r="A20" s="15" t="s">
        <v>79</v>
      </c>
      <c r="B20" s="5">
        <f>QUARTILE('Tutte le stem'!E10:E15,3)</f>
        <v>27.15</v>
      </c>
      <c r="C20" s="5">
        <f>QUARTILE('Tutte le stem'!F10:F15,3)</f>
        <v>108.6</v>
      </c>
      <c r="D20" s="5">
        <f>QUARTILE('Tutte le stem'!G10:G15,3)</f>
        <v>0.28500000000000003</v>
      </c>
      <c r="E20" s="5">
        <f>QUARTILE('Tutte le stem'!K10:K15,3)</f>
        <v>96.5</v>
      </c>
      <c r="F20" s="5">
        <f>QUARTILE('Tutte le stem'!L10:L15,3)</f>
        <v>4.4749999999999996</v>
      </c>
      <c r="G20" s="5">
        <f>QUARTILE('Tutte le stem'!M10:M15,3)</f>
        <v>76.375</v>
      </c>
      <c r="H20" s="5">
        <f>QUARTILE('Tutte le stem'!N10:N15,3)</f>
        <v>40.85</v>
      </c>
      <c r="I20" s="5">
        <f>QUARTILE('Tutte le stem'!O10:O15,3)</f>
        <v>110.375</v>
      </c>
      <c r="J20" s="5">
        <f>QUARTILE('Tutte le stem'!P10:P15,3)</f>
        <v>1730.75</v>
      </c>
      <c r="K20" s="5">
        <f>QUARTILE('Tutte le stem'!Q10:Q15,3)</f>
        <v>54.85</v>
      </c>
      <c r="L20" s="5">
        <f>QUARTILE('Tutte le stem'!R10:R15,3)</f>
        <v>63.649999999999991</v>
      </c>
      <c r="M20" s="5">
        <f>QUARTILE('Tutte le stem'!S10:S15,3)</f>
        <v>63.524999999999991</v>
      </c>
      <c r="N20" s="5">
        <f>QUARTILE('Tutte le stem'!T10:T15,3)</f>
        <v>7.7750000000000004</v>
      </c>
      <c r="O20" s="5">
        <f>QUARTILE('Tutte le stem'!U10:U15,3)</f>
        <v>25.625</v>
      </c>
      <c r="P20" s="5">
        <f>QUARTILE('Tutte le stem'!B10:B15,3)</f>
        <v>603</v>
      </c>
      <c r="Q20" s="5">
        <f>QUARTILE('Tutte le stem'!C10:C15,3)</f>
        <v>333.25</v>
      </c>
      <c r="R20" s="5">
        <f>QUARTILE('Tutte le stem'!D10:D15,3)</f>
        <v>73.125</v>
      </c>
      <c r="S20" s="5">
        <f>QUARTILE('Tutte le stem'!H10:H15,3)</f>
        <v>62.975000000000001</v>
      </c>
      <c r="T20" s="5">
        <f>QUARTILE('Tutte le stem'!I10:I15,3)</f>
        <v>47.324999999999996</v>
      </c>
      <c r="U20" s="5">
        <f>QUARTILE('Tutte le stem'!J10:J15,3)</f>
        <v>2.85</v>
      </c>
      <c r="V20" s="5">
        <f>QUARTILE('Tutte le stem'!V10:V15,3)</f>
        <v>76</v>
      </c>
      <c r="W20" s="5">
        <f>QUARTILE('Tutte le stem'!W10:W15,3)</f>
        <v>1787.25</v>
      </c>
      <c r="X20" s="5">
        <f>QUARTILE('Tutte le stem'!X10:X15,3)</f>
        <v>1662.5</v>
      </c>
      <c r="Y20" s="5">
        <f>QUARTILE('Tutte le stem'!Y10:Y15,3)</f>
        <v>30.175000000000001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x14ac:dyDescent="0.25">
      <c r="A21"/>
    </row>
    <row r="22" spans="1:52" s="34" customFormat="1" x14ac:dyDescent="0.25">
      <c r="A22" s="26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s="32" customFormat="1" x14ac:dyDescent="0.25">
      <c r="A23" s="35" t="s">
        <v>83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14" customFormat="1" x14ac:dyDescent="0.25">
      <c r="A24" s="15" t="s">
        <v>72</v>
      </c>
      <c r="B24" s="5">
        <f>AVERAGE('Tutte le stem'!E16:E35)</f>
        <v>27.22999999999999</v>
      </c>
      <c r="C24" s="5">
        <f>AVERAGE('Tutte le stem'!F16:F35)</f>
        <v>107.02500000000001</v>
      </c>
      <c r="D24" s="5">
        <f>AVERAGE('Tutte le stem'!G16:G35)</f>
        <v>0.29749999999999999</v>
      </c>
      <c r="E24" s="5">
        <f>AVERAGE('Tutte le stem'!K16:K35)</f>
        <v>93.640000000000015</v>
      </c>
      <c r="F24" s="5">
        <f>AVERAGE('Tutte le stem'!L16:L35)</f>
        <v>2.875</v>
      </c>
      <c r="G24" s="5">
        <f>AVERAGE('Tutte le stem'!M16:M35)</f>
        <v>62.534999999999989</v>
      </c>
      <c r="H24" s="5">
        <f>AVERAGE('Tutte le stem'!N16:N35)</f>
        <v>41.664999999999999</v>
      </c>
      <c r="I24" s="5">
        <f>AVERAGE('Tutte le stem'!O16:O35)</f>
        <v>107.97499999999999</v>
      </c>
      <c r="J24" s="5">
        <f>AVERAGE('Tutte le stem'!P16:P35)</f>
        <v>1679.25</v>
      </c>
      <c r="K24" s="5">
        <f>AVERAGE('Tutte le stem'!Q16:Q35)</f>
        <v>53.045000000000002</v>
      </c>
      <c r="L24" s="5">
        <f>AVERAGE('Tutte le stem'!R16:R35)</f>
        <v>62.349999999999987</v>
      </c>
      <c r="M24" s="5">
        <f>AVERAGE('Tutte le stem'!S16:S35)</f>
        <v>63.850000000000009</v>
      </c>
      <c r="N24" s="5">
        <f>AVERAGE('Tutte le stem'!T16:T35)</f>
        <v>7.7849999999999993</v>
      </c>
      <c r="O24" s="5">
        <f>AVERAGE('Tutte le stem'!U16:U35)</f>
        <v>19.309999999999999</v>
      </c>
      <c r="P24" s="5">
        <f>AVERAGE('Tutte le stem'!B16:B35)</f>
        <v>893.65</v>
      </c>
      <c r="Q24" s="5">
        <f>AVERAGE('Tutte le stem'!C16:C35)</f>
        <v>464.7</v>
      </c>
      <c r="R24" s="5">
        <f>AVERAGE('Tutte le stem'!D16:D35)</f>
        <v>68.674999999999997</v>
      </c>
      <c r="S24" s="5">
        <f>AVERAGE('Tutte le stem'!H16:H35)</f>
        <v>68.974999999999994</v>
      </c>
      <c r="T24" s="5">
        <f>AVERAGE('Tutte le stem'!I16:I35)</f>
        <v>31.024999999999999</v>
      </c>
      <c r="U24" s="5">
        <f>AVERAGE('Tutte le stem'!J16:J35)</f>
        <v>2.9450000000000003</v>
      </c>
      <c r="V24" s="5">
        <f>AVERAGE('Tutte le stem'!V16:V35)</f>
        <v>50.940000000000005</v>
      </c>
      <c r="W24" s="5">
        <f>AVERAGE('Tutte le stem'!W16:W35)</f>
        <v>1719.35</v>
      </c>
      <c r="X24" s="5">
        <f>AVERAGE('Tutte le stem'!X16:X35)</f>
        <v>1602.2</v>
      </c>
      <c r="Y24" s="5">
        <f>AVERAGE('Tutte le stem'!Y16:Y35)</f>
        <v>30.659999999999997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s="14" customFormat="1" x14ac:dyDescent="0.25">
      <c r="A25" s="15" t="s">
        <v>73</v>
      </c>
      <c r="B25" s="3">
        <f>MEDIAN('Tutte le stem'!E16:E35)</f>
        <v>26.799999999999997</v>
      </c>
      <c r="C25" s="3">
        <f>MEDIAN('Tutte le stem'!F16:F35)</f>
        <v>106.85</v>
      </c>
      <c r="D25" s="3">
        <f>MEDIAN('Tutte le stem'!G16:G35)</f>
        <v>0.28500000000000003</v>
      </c>
      <c r="E25" s="3">
        <f>MEDIAN('Tutte le stem'!K16:K35)</f>
        <v>94.95</v>
      </c>
      <c r="F25" s="3">
        <f>MEDIAN('Tutte le stem'!L16:L35)</f>
        <v>2.8499999999999996</v>
      </c>
      <c r="G25" s="3">
        <f>MEDIAN('Tutte le stem'!M16:M35)</f>
        <v>69.699999999999989</v>
      </c>
      <c r="H25" s="3">
        <f>MEDIAN('Tutte le stem'!N16:N35)</f>
        <v>41.9</v>
      </c>
      <c r="I25" s="3">
        <f>MEDIAN('Tutte le stem'!O16:O35)</f>
        <v>105.8</v>
      </c>
      <c r="J25" s="3">
        <f>MEDIAN('Tutte le stem'!P16:P35)</f>
        <v>1721.5</v>
      </c>
      <c r="K25" s="3">
        <f>MEDIAN('Tutte le stem'!Q16:Q35)</f>
        <v>53.45</v>
      </c>
      <c r="L25" s="3">
        <f>MEDIAN('Tutte le stem'!R16:R35)</f>
        <v>64.5</v>
      </c>
      <c r="M25" s="3">
        <f>MEDIAN('Tutte le stem'!S16:S35)</f>
        <v>63.5</v>
      </c>
      <c r="N25" s="3">
        <f>MEDIAN('Tutte le stem'!T16:T35)</f>
        <v>7.8</v>
      </c>
      <c r="O25" s="3">
        <f>MEDIAN('Tutte le stem'!U16:U35)</f>
        <v>18.299999999999997</v>
      </c>
      <c r="P25" s="3">
        <f>MEDIAN('Tutte le stem'!B16:B35)</f>
        <v>653.5</v>
      </c>
      <c r="Q25" s="3">
        <f>MEDIAN('Tutte le stem'!C16:C35)</f>
        <v>347</v>
      </c>
      <c r="R25" s="3">
        <f>MEDIAN('Tutte le stem'!D16:D35)</f>
        <v>70.099999999999994</v>
      </c>
      <c r="S25" s="3">
        <f>MEDIAN('Tutte le stem'!H16:H35)</f>
        <v>68.25</v>
      </c>
      <c r="T25" s="3">
        <f>MEDIAN('Tutte le stem'!I16:I35)</f>
        <v>31.75</v>
      </c>
      <c r="U25" s="3">
        <f>MEDIAN('Tutte le stem'!J16:J35)</f>
        <v>2.9</v>
      </c>
      <c r="V25" s="3">
        <f>MEDIAN('Tutte le stem'!V16:V35)</f>
        <v>50</v>
      </c>
      <c r="W25" s="3">
        <f>MEDIAN('Tutte le stem'!W16:W35)</f>
        <v>1717</v>
      </c>
      <c r="X25" s="3">
        <f>MEDIAN('Tutte le stem'!X16:X35)</f>
        <v>1640</v>
      </c>
      <c r="Y25" s="3">
        <f>MEDIAN('Tutte le stem'!Y16:Y35)</f>
        <v>30.5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s="14" customFormat="1" x14ac:dyDescent="0.25">
      <c r="A26" s="15" t="s">
        <v>74</v>
      </c>
      <c r="B26" s="3">
        <f>MIN('Tutte le stem'!E16:E35)</f>
        <v>26</v>
      </c>
      <c r="C26" s="3">
        <f>MIN('Tutte le stem'!F16:F35)</f>
        <v>105.3</v>
      </c>
      <c r="D26" s="3">
        <f>MIN('Tutte le stem'!G16:G35)</f>
        <v>0.14000000000000001</v>
      </c>
      <c r="E26" s="3">
        <f>MIN('Tutte le stem'!K16:K35)</f>
        <v>80.2</v>
      </c>
      <c r="F26" s="3">
        <f>MIN('Tutte le stem'!L16:L35)</f>
        <v>1.6</v>
      </c>
      <c r="G26" s="3">
        <f>MIN('Tutte le stem'!M16:M35)</f>
        <v>21.3</v>
      </c>
      <c r="H26" s="3">
        <f>MIN('Tutte le stem'!N16:N35)</f>
        <v>38.5</v>
      </c>
      <c r="I26" s="3">
        <f>MIN('Tutte le stem'!O16:O35)</f>
        <v>96.7</v>
      </c>
      <c r="J26" s="3">
        <f>MIN('Tutte le stem'!P16:P35)</f>
        <v>1358</v>
      </c>
      <c r="K26" s="3">
        <f>MIN('Tutte le stem'!Q16:Q35)</f>
        <v>36.299999999999997</v>
      </c>
      <c r="L26" s="3">
        <f>MIN('Tutte le stem'!R16:R35)</f>
        <v>36.200000000000003</v>
      </c>
      <c r="M26" s="3">
        <f>MIN('Tutte le stem'!S16:S35)</f>
        <v>47.6</v>
      </c>
      <c r="N26" s="3">
        <f>MIN('Tutte le stem'!T16:T35)</f>
        <v>7.4</v>
      </c>
      <c r="O26" s="3">
        <f>MIN('Tutte le stem'!U16:U35)</f>
        <v>13</v>
      </c>
      <c r="P26" s="3">
        <f>MIN('Tutte le stem'!B16:B35)</f>
        <v>88</v>
      </c>
      <c r="Q26" s="3">
        <f>MIN('Tutte le stem'!C16:C35)</f>
        <v>46</v>
      </c>
      <c r="R26" s="3">
        <f>MIN('Tutte le stem'!D16:D35)</f>
        <v>56.6</v>
      </c>
      <c r="S26" s="3">
        <f>MIN('Tutte le stem'!H16:H35)</f>
        <v>41.7</v>
      </c>
      <c r="T26" s="3">
        <f>MIN('Tutte le stem'!I16:I35)</f>
        <v>7.8</v>
      </c>
      <c r="U26" s="3">
        <f>MIN('Tutte le stem'!J16:J35)</f>
        <v>2.5</v>
      </c>
      <c r="V26" s="3">
        <f>MIN('Tutte le stem'!V16:V35)</f>
        <v>31.4</v>
      </c>
      <c r="W26" s="3">
        <f>MIN('Tutte le stem'!W16:W35)</f>
        <v>1447</v>
      </c>
      <c r="X26" s="3">
        <f>MIN('Tutte le stem'!X16:X35)</f>
        <v>1209</v>
      </c>
      <c r="Y26" s="3">
        <f>MIN('Tutte le stem'!Y16:Y35)</f>
        <v>16</v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s="14" customFormat="1" x14ac:dyDescent="0.25">
      <c r="A27" s="15" t="s">
        <v>75</v>
      </c>
      <c r="B27" s="3">
        <f>MAX('Tutte le stem'!E16:E35)</f>
        <v>30.3</v>
      </c>
      <c r="C27" s="3">
        <f>MAX('Tutte le stem'!F16:F35)</f>
        <v>110</v>
      </c>
      <c r="D27" s="3">
        <f>MAX('Tutte le stem'!G16:G35)</f>
        <v>0.49</v>
      </c>
      <c r="E27" s="3">
        <f>MAX('Tutte le stem'!K16:K35)</f>
        <v>97.7</v>
      </c>
      <c r="F27" s="3">
        <f>MAX('Tutte le stem'!L16:L35)</f>
        <v>5.3</v>
      </c>
      <c r="G27" s="3">
        <f>MAX('Tutte le stem'!M16:M35)</f>
        <v>86.3</v>
      </c>
      <c r="H27" s="3">
        <f>MAX('Tutte le stem'!N16:N35)</f>
        <v>43</v>
      </c>
      <c r="I27" s="3">
        <f>MAX('Tutte le stem'!O16:O35)</f>
        <v>132</v>
      </c>
      <c r="J27" s="3">
        <f>MAX('Tutte le stem'!P16:P35)</f>
        <v>1849</v>
      </c>
      <c r="K27" s="3">
        <f>MAX('Tutte le stem'!Q16:Q35)</f>
        <v>65.400000000000006</v>
      </c>
      <c r="L27" s="3">
        <f>MAX('Tutte le stem'!R16:R35)</f>
        <v>71.8</v>
      </c>
      <c r="M27" s="3">
        <f>MAX('Tutte le stem'!S16:S35)</f>
        <v>81.8</v>
      </c>
      <c r="N27" s="3">
        <f>MAX('Tutte le stem'!T16:T35)</f>
        <v>8.1</v>
      </c>
      <c r="O27" s="3">
        <f>MAX('Tutte le stem'!U16:U35)</f>
        <v>33.799999999999997</v>
      </c>
      <c r="P27" s="3">
        <f>MAX('Tutte le stem'!B16:B35)</f>
        <v>2687</v>
      </c>
      <c r="Q27" s="3">
        <f>MAX('Tutte le stem'!C16:C35)</f>
        <v>1398</v>
      </c>
      <c r="R27" s="3">
        <f>MAX('Tutte le stem'!D16:D35)</f>
        <v>77.8</v>
      </c>
      <c r="S27" s="3">
        <f>MAX('Tutte le stem'!H16:H35)</f>
        <v>92.2</v>
      </c>
      <c r="T27" s="3">
        <f>MAX('Tutte le stem'!I16:I35)</f>
        <v>58.3</v>
      </c>
      <c r="U27" s="3">
        <f>MAX('Tutte le stem'!J16:J35)</f>
        <v>3.4</v>
      </c>
      <c r="V27" s="3">
        <f>MAX('Tutte le stem'!V16:V35)</f>
        <v>78.7</v>
      </c>
      <c r="W27" s="3">
        <f>MAX('Tutte le stem'!W16:W35)</f>
        <v>1880</v>
      </c>
      <c r="X27" s="3">
        <f>MAX('Tutte le stem'!X16:X35)</f>
        <v>1819</v>
      </c>
      <c r="Y27" s="3">
        <f>MAX('Tutte le stem'!Y16:Y35)</f>
        <v>43.3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s="14" customFormat="1" x14ac:dyDescent="0.25">
      <c r="A28" s="15" t="s">
        <v>76</v>
      </c>
      <c r="B28" s="23">
        <f>_xlfn.STDEV.P('Tutte le stem'!E16:E35)</f>
        <v>1.0464702575802145</v>
      </c>
      <c r="C28" s="23">
        <f>_xlfn.STDEV.P('Tutte le stem'!F16:F35)</f>
        <v>1.200780995852283</v>
      </c>
      <c r="D28" s="23">
        <f>_xlfn.STDEV.P('Tutte le stem'!G16:G35)</f>
        <v>8.067682442932414E-2</v>
      </c>
      <c r="E28" s="23">
        <f>_xlfn.STDEV.P('Tutte le stem'!K16:K35)</f>
        <v>4.4271209606244097</v>
      </c>
      <c r="F28" s="23">
        <f>_xlfn.STDEV.P('Tutte le stem'!L16:L35)</f>
        <v>0.97819987732569313</v>
      </c>
      <c r="G28" s="23">
        <f>_xlfn.STDEV.P('Tutte le stem'!M16:M35)</f>
        <v>20.948323918633704</v>
      </c>
      <c r="H28" s="23">
        <f>_xlfn.STDEV.P('Tutte le stem'!N16:N35)</f>
        <v>1.1512058894915362</v>
      </c>
      <c r="I28" s="23">
        <f>_xlfn.STDEV.P('Tutte le stem'!O16:O35)</f>
        <v>8.5728568750446321</v>
      </c>
      <c r="J28" s="23">
        <f>_xlfn.STDEV.P('Tutte le stem'!P16:P35)</f>
        <v>138.64121861841809</v>
      </c>
      <c r="K28" s="23">
        <f>_xlfn.STDEV.P('Tutte le stem'!Q16:Q35)</f>
        <v>7.4654855836709357</v>
      </c>
      <c r="L28" s="23">
        <f>_xlfn.STDEV.P('Tutte le stem'!R16:R35)</f>
        <v>8.4372092542499733</v>
      </c>
      <c r="M28" s="23">
        <f>_xlfn.STDEV.P('Tutte le stem'!S16:S35)</f>
        <v>8.2156862160138164</v>
      </c>
      <c r="N28" s="23">
        <f>_xlfn.STDEV.P('Tutte le stem'!T16:T35)</f>
        <v>0.15898113095584646</v>
      </c>
      <c r="O28" s="23">
        <f>_xlfn.STDEV.P('Tutte le stem'!U16:U35)</f>
        <v>4.3468264285568132</v>
      </c>
      <c r="P28" s="23">
        <f>_xlfn.STDEV.P('Tutte le stem'!B16:B35)</f>
        <v>744.39628391066003</v>
      </c>
      <c r="Q28" s="23">
        <f>_xlfn.STDEV.P('Tutte le stem'!C16:C35)</f>
        <v>394.82655685756498</v>
      </c>
      <c r="R28" s="23">
        <f>_xlfn.STDEV.P('Tutte le stem'!D16:D35)</f>
        <v>5.0299975149099234</v>
      </c>
      <c r="S28" s="23">
        <f>_xlfn.STDEV.P('Tutte le stem'!H16:H35)</f>
        <v>16.284160248536036</v>
      </c>
      <c r="T28" s="23">
        <f>_xlfn.STDEV.P('Tutte le stem'!I16:I35)</f>
        <v>16.284160248535994</v>
      </c>
      <c r="U28" s="23">
        <f>_xlfn.STDEV.P('Tutte le stem'!J16:J35)</f>
        <v>0.20365411854416302</v>
      </c>
      <c r="V28" s="23">
        <f>_xlfn.STDEV.P('Tutte le stem'!V16:V35)</f>
        <v>12.921431809207533</v>
      </c>
      <c r="W28" s="23">
        <f>_xlfn.STDEV.P('Tutte le stem'!W16:W35)</f>
        <v>109.57430127543593</v>
      </c>
      <c r="X28" s="23">
        <f>_xlfn.STDEV.P('Tutte le stem'!X16:X35)</f>
        <v>159.24402657556735</v>
      </c>
      <c r="Y28" s="23">
        <f>_xlfn.STDEV.P('Tutte le stem'!Y16:Y35)</f>
        <v>7.5255165935635349</v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2" s="14" customFormat="1" x14ac:dyDescent="0.25">
      <c r="A29" s="15" t="s">
        <v>77</v>
      </c>
      <c r="B29" s="4">
        <f>B28/B24</f>
        <v>3.8430784340073992E-2</v>
      </c>
      <c r="C29" s="4">
        <f t="shared" ref="C29:Y29" si="2">C28/C24</f>
        <v>1.1219630888598767E-2</v>
      </c>
      <c r="D29" s="4">
        <f t="shared" si="2"/>
        <v>0.27118260312377862</v>
      </c>
      <c r="E29" s="4">
        <f t="shared" si="2"/>
        <v>4.7278096546608382E-2</v>
      </c>
      <c r="F29" s="4">
        <f t="shared" si="2"/>
        <v>0.34024343559154546</v>
      </c>
      <c r="G29" s="4">
        <f t="shared" si="2"/>
        <v>0.33498559076730966</v>
      </c>
      <c r="H29" s="4">
        <f t="shared" si="2"/>
        <v>2.7630046549658855E-2</v>
      </c>
      <c r="I29" s="4">
        <f t="shared" si="2"/>
        <v>7.9396683260427259E-2</v>
      </c>
      <c r="J29" s="4">
        <f t="shared" si="2"/>
        <v>8.2561392656494328E-2</v>
      </c>
      <c r="K29" s="4">
        <f t="shared" si="2"/>
        <v>0.14073872341730484</v>
      </c>
      <c r="L29" s="4">
        <f t="shared" si="2"/>
        <v>0.13532011634723295</v>
      </c>
      <c r="M29" s="4">
        <f t="shared" si="2"/>
        <v>0.12867167135495403</v>
      </c>
      <c r="N29" s="4">
        <f t="shared" si="2"/>
        <v>2.0421468330873022E-2</v>
      </c>
      <c r="O29" s="4">
        <f t="shared" si="2"/>
        <v>0.22510753125617886</v>
      </c>
      <c r="P29" s="4">
        <f t="shared" si="2"/>
        <v>0.83298414805646515</v>
      </c>
      <c r="Q29" s="4">
        <f t="shared" si="2"/>
        <v>0.84963752282669458</v>
      </c>
      <c r="R29" s="4">
        <f t="shared" si="2"/>
        <v>7.3243502219292669E-2</v>
      </c>
      <c r="S29" s="4">
        <f t="shared" si="2"/>
        <v>0.23608786152281316</v>
      </c>
      <c r="T29" s="4">
        <f t="shared" si="2"/>
        <v>0.52487220784966948</v>
      </c>
      <c r="U29" s="4">
        <f t="shared" si="2"/>
        <v>6.9152502052347367E-2</v>
      </c>
      <c r="V29" s="4">
        <f t="shared" si="2"/>
        <v>0.25365983135468262</v>
      </c>
      <c r="W29" s="4">
        <f t="shared" si="2"/>
        <v>6.3730073152898442E-2</v>
      </c>
      <c r="X29" s="4">
        <f t="shared" si="2"/>
        <v>9.9390854185224906E-2</v>
      </c>
      <c r="Y29" s="4">
        <f t="shared" si="2"/>
        <v>0.24545063905947606</v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s="14" customFormat="1" x14ac:dyDescent="0.25">
      <c r="A30" s="15" t="s">
        <v>78</v>
      </c>
      <c r="B30" s="5">
        <f>QUARTILE('Tutte le stem'!E16:E35,1)</f>
        <v>26.475000000000001</v>
      </c>
      <c r="C30" s="5">
        <f>QUARTILE('Tutte le stem'!F16:F35,1)</f>
        <v>106.35000000000001</v>
      </c>
      <c r="D30" s="5">
        <f>QUARTILE('Tutte le stem'!G16:G35,1)</f>
        <v>0.25</v>
      </c>
      <c r="E30" s="5">
        <f>QUARTILE('Tutte le stem'!K16:K35,1)</f>
        <v>93.899999999999991</v>
      </c>
      <c r="F30" s="5">
        <f>QUARTILE('Tutte le stem'!L16:L35,1)</f>
        <v>2.1</v>
      </c>
      <c r="G30" s="5">
        <f>QUARTILE('Tutte le stem'!M16:M35,1)</f>
        <v>48.95</v>
      </c>
      <c r="H30" s="5">
        <f>QUARTILE('Tutte le stem'!N16:N35,1)</f>
        <v>41.475000000000001</v>
      </c>
      <c r="I30" s="5">
        <f>QUARTILE('Tutte le stem'!O16:O35,1)</f>
        <v>103</v>
      </c>
      <c r="J30" s="5">
        <f>QUARTILE('Tutte le stem'!P16:P35,1)</f>
        <v>1631</v>
      </c>
      <c r="K30" s="5">
        <f>QUARTILE('Tutte le stem'!Q16:Q35,1)</f>
        <v>49.325000000000003</v>
      </c>
      <c r="L30" s="5">
        <f>QUARTILE('Tutte le stem'!R16:R35,1)</f>
        <v>62.625</v>
      </c>
      <c r="M30" s="5">
        <f>QUARTILE('Tutte le stem'!S16:S35,1)</f>
        <v>59.524999999999999</v>
      </c>
      <c r="N30" s="5">
        <f>QUARTILE('Tutte le stem'!T16:T35,1)</f>
        <v>7.7</v>
      </c>
      <c r="O30" s="5">
        <f>QUARTILE('Tutte le stem'!U16:U35,1)</f>
        <v>17.149999999999999</v>
      </c>
      <c r="P30" s="5">
        <f>QUARTILE('Tutte le stem'!B16:B35,1)</f>
        <v>396.75</v>
      </c>
      <c r="Q30" s="5">
        <f>QUARTILE('Tutte le stem'!C16:C35,1)</f>
        <v>187.5</v>
      </c>
      <c r="R30" s="5">
        <f>QUARTILE('Tutte le stem'!D16:D35,1)</f>
        <v>65</v>
      </c>
      <c r="S30" s="5">
        <f>QUARTILE('Tutte le stem'!H16:H35,1)</f>
        <v>57.225000000000001</v>
      </c>
      <c r="T30" s="5">
        <f>QUARTILE('Tutte le stem'!I16:I35,1)</f>
        <v>14.85</v>
      </c>
      <c r="U30" s="5">
        <f>QUARTILE('Tutte le stem'!J16:J35,1)</f>
        <v>2.875</v>
      </c>
      <c r="V30" s="5">
        <f>QUARTILE('Tutte le stem'!V16:V35,1)</f>
        <v>39.274999999999999</v>
      </c>
      <c r="W30" s="5">
        <f>QUARTILE('Tutte le stem'!W16:W35,1)</f>
        <v>1649.25</v>
      </c>
      <c r="X30" s="5">
        <f>QUARTILE('Tutte le stem'!X16:X35,1)</f>
        <v>1546.75</v>
      </c>
      <c r="Y30" s="5">
        <f>QUARTILE('Tutte le stem'!Y16:Y35,1)</f>
        <v>27.2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 s="14" customFormat="1" x14ac:dyDescent="0.25">
      <c r="A31" s="15" t="s">
        <v>79</v>
      </c>
      <c r="B31" s="5">
        <f>QUARTILE('Tutte le stem'!E16:E35,3)</f>
        <v>27.524999999999999</v>
      </c>
      <c r="C31" s="5">
        <f>QUARTILE('Tutte le stem'!F16:F35,3)</f>
        <v>107.6</v>
      </c>
      <c r="D31" s="5">
        <f>QUARTILE('Tutte le stem'!G16:G35,3)</f>
        <v>0.34250000000000003</v>
      </c>
      <c r="E31" s="5">
        <f>QUARTILE('Tutte le stem'!K16:K35,3)</f>
        <v>96.6</v>
      </c>
      <c r="F31" s="5">
        <f>QUARTILE('Tutte le stem'!L16:L35,3)</f>
        <v>3.125</v>
      </c>
      <c r="G31" s="5">
        <f>QUARTILE('Tutte le stem'!M16:M35,3)</f>
        <v>79.775000000000006</v>
      </c>
      <c r="H31" s="5">
        <f>QUARTILE('Tutte le stem'!N16:N35,3)</f>
        <v>42.424999999999997</v>
      </c>
      <c r="I31" s="5">
        <f>QUARTILE('Tutte le stem'!O16:O35,3)</f>
        <v>109.80000000000001</v>
      </c>
      <c r="J31" s="5">
        <f>QUARTILE('Tutte le stem'!P16:P35,3)</f>
        <v>1757.25</v>
      </c>
      <c r="K31" s="5">
        <f>QUARTILE('Tutte le stem'!Q16:Q35,3)</f>
        <v>58.125</v>
      </c>
      <c r="L31" s="5">
        <f>QUARTILE('Tutte le stem'!R16:R35,3)</f>
        <v>66.724999999999994</v>
      </c>
      <c r="M31" s="5">
        <f>QUARTILE('Tutte le stem'!S16:S35,3)</f>
        <v>69</v>
      </c>
      <c r="N31" s="5">
        <f>QUARTILE('Tutte le stem'!T16:T35,3)</f>
        <v>7.9</v>
      </c>
      <c r="O31" s="5">
        <f>QUARTILE('Tutte le stem'!U16:U35,3)</f>
        <v>20.6</v>
      </c>
      <c r="P31" s="5">
        <f>QUARTILE('Tutte le stem'!B16:B35,3)</f>
        <v>1029.25</v>
      </c>
      <c r="Q31" s="5">
        <f>QUARTILE('Tutte le stem'!C16:C35,3)</f>
        <v>535.25</v>
      </c>
      <c r="R31" s="5">
        <f>QUARTILE('Tutte le stem'!D16:D35,3)</f>
        <v>71.95</v>
      </c>
      <c r="S31" s="5">
        <f>QUARTILE('Tutte le stem'!H16:H35,3)</f>
        <v>85.149999999999991</v>
      </c>
      <c r="T31" s="5">
        <f>QUARTILE('Tutte le stem'!I16:I35,3)</f>
        <v>42.774999999999999</v>
      </c>
      <c r="U31" s="5">
        <f>QUARTILE('Tutte le stem'!J16:J35,3)</f>
        <v>3.1</v>
      </c>
      <c r="V31" s="5">
        <f>QUARTILE('Tutte le stem'!V16:V35,3)</f>
        <v>59.8</v>
      </c>
      <c r="W31" s="5">
        <f>QUARTILE('Tutte le stem'!W16:W35,3)</f>
        <v>1790.75</v>
      </c>
      <c r="X31" s="5">
        <f>QUARTILE('Tutte le stem'!X16:X35,3)</f>
        <v>1713</v>
      </c>
      <c r="Y31" s="5">
        <f>QUARTILE('Tutte le stem'!Y16:Y35,3)</f>
        <v>35.975000000000001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x14ac:dyDescent="0.25">
      <c r="A32"/>
    </row>
    <row r="33" spans="1:52" s="34" customFormat="1" x14ac:dyDescent="0.25">
      <c r="A33" s="26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 s="32" customFormat="1" x14ac:dyDescent="0.25">
      <c r="A34" s="36" t="s">
        <v>84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s="14" customFormat="1" x14ac:dyDescent="0.25">
      <c r="A35" s="15" t="s">
        <v>72</v>
      </c>
      <c r="B35" s="5">
        <f>AVERAGE('Tutte le stem'!E36:E37)</f>
        <v>26.25</v>
      </c>
      <c r="C35" s="5">
        <f>AVERAGE('Tutte le stem'!F36:F37)</f>
        <v>109.75</v>
      </c>
      <c r="D35" s="5">
        <f>AVERAGE('Tutte le stem'!G36:G37)</f>
        <v>0.23499999999999999</v>
      </c>
      <c r="E35" s="5">
        <f>AVERAGE('Tutte le stem'!K36:K37)</f>
        <v>94.949999999999989</v>
      </c>
      <c r="F35" s="5">
        <f>AVERAGE('Tutte le stem'!L36:L37)</f>
        <v>2.7</v>
      </c>
      <c r="G35" s="5">
        <f>AVERAGE('Tutte le stem'!M36:M37)</f>
        <v>48.849999999999994</v>
      </c>
      <c r="H35" s="5">
        <f>AVERAGE('Tutte le stem'!N36:N37)</f>
        <v>34.799999999999997</v>
      </c>
      <c r="I35" s="5">
        <f>AVERAGE('Tutte le stem'!O36:O37)</f>
        <v>108.19999999999999</v>
      </c>
      <c r="J35" s="5">
        <f>AVERAGE('Tutte le stem'!P36:P37)</f>
        <v>1600</v>
      </c>
      <c r="K35" s="5">
        <f>AVERAGE('Tutte le stem'!Q36:Q37)</f>
        <v>45.849999999999994</v>
      </c>
      <c r="L35" s="5">
        <f>AVERAGE('Tutte le stem'!R36:R37)</f>
        <v>62.65</v>
      </c>
      <c r="M35" s="5">
        <f>AVERAGE('Tutte le stem'!S36:S37)</f>
        <v>61.5</v>
      </c>
      <c r="N35" s="5">
        <f>AVERAGE('Tutte le stem'!T36:T37)</f>
        <v>8.1</v>
      </c>
      <c r="O35" s="5">
        <f>AVERAGE('Tutte le stem'!U36:U37)</f>
        <v>14.15</v>
      </c>
      <c r="P35" s="5">
        <f>AVERAGE('Tutte le stem'!B36:B37)</f>
        <v>1016.5</v>
      </c>
      <c r="Q35" s="5">
        <f>AVERAGE('Tutte le stem'!C36:C37)</f>
        <v>550</v>
      </c>
      <c r="R35" s="5">
        <f>AVERAGE('Tutte le stem'!D36:D37)</f>
        <v>72.7</v>
      </c>
      <c r="S35" s="5">
        <f>AVERAGE('Tutte le stem'!H36:H37)</f>
        <v>59.7</v>
      </c>
      <c r="T35" s="5">
        <f>AVERAGE('Tutte le stem'!I36:I37)</f>
        <v>40.299999999999997</v>
      </c>
      <c r="U35" s="5">
        <f>AVERAGE('Tutte le stem'!J36:J37)</f>
        <v>2.7</v>
      </c>
      <c r="V35" s="5">
        <f>AVERAGE('Tutte le stem'!V36:V37)</f>
        <v>63.8</v>
      </c>
      <c r="W35" s="5">
        <f>AVERAGE('Tutte le stem'!W36:W37)</f>
        <v>1656</v>
      </c>
      <c r="X35" s="5">
        <f>AVERAGE('Tutte le stem'!X36:X37)</f>
        <v>1530.5</v>
      </c>
      <c r="Y35" s="5">
        <f>AVERAGE('Tutte le stem'!Y36:Y37)</f>
        <v>32.35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s="14" customFormat="1" x14ac:dyDescent="0.25">
      <c r="A36" s="15" t="s">
        <v>73</v>
      </c>
      <c r="B36" s="3">
        <f>MEDIAN('Tutte le stem'!E35:E37)</f>
        <v>26.4</v>
      </c>
      <c r="C36" s="3">
        <f>MEDIAN('Tutte le stem'!F35:F37)</f>
        <v>109.2</v>
      </c>
      <c r="D36" s="3">
        <f>MEDIAN('Tutte le stem'!G35:G37)</f>
        <v>0.23</v>
      </c>
      <c r="E36" s="3">
        <f>MEDIAN('Tutte le stem'!K35:K37)</f>
        <v>95.6</v>
      </c>
      <c r="F36" s="3">
        <f>MEDIAN('Tutte le stem'!L35:L37)</f>
        <v>2.9</v>
      </c>
      <c r="G36" s="3">
        <f>MEDIAN('Tutte le stem'!M35:M37)</f>
        <v>52.8</v>
      </c>
      <c r="H36" s="3">
        <f>MEDIAN('Tutte le stem'!N35:N37)</f>
        <v>37.200000000000003</v>
      </c>
      <c r="I36" s="3">
        <f>MEDIAN('Tutte le stem'!O35:O37)</f>
        <v>108.6</v>
      </c>
      <c r="J36" s="3">
        <f>MEDIAN('Tutte le stem'!P35:P37)</f>
        <v>1633</v>
      </c>
      <c r="K36" s="3">
        <f>MEDIAN('Tutte le stem'!Q35:Q37)</f>
        <v>47.8</v>
      </c>
      <c r="L36" s="3">
        <f>MEDIAN('Tutte le stem'!R35:R37)</f>
        <v>62.8</v>
      </c>
      <c r="M36" s="3">
        <f>MEDIAN('Tutte le stem'!S35:S37)</f>
        <v>61.7</v>
      </c>
      <c r="N36" s="3">
        <f>MEDIAN('Tutte le stem'!T35:T37)</f>
        <v>8.1</v>
      </c>
      <c r="O36" s="3">
        <f>MEDIAN('Tutte le stem'!U35:U37)</f>
        <v>14.9</v>
      </c>
      <c r="P36" s="3">
        <f>MEDIAN('Tutte le stem'!B35:B37)</f>
        <v>999</v>
      </c>
      <c r="Q36" s="3">
        <f>MEDIAN('Tutte le stem'!C35:C37)</f>
        <v>543</v>
      </c>
      <c r="R36" s="3">
        <f>MEDIAN('Tutte le stem'!D35:D37)</f>
        <v>73</v>
      </c>
      <c r="S36" s="3">
        <f>MEDIAN('Tutte le stem'!H35:H37)</f>
        <v>63.6</v>
      </c>
      <c r="T36" s="3">
        <f>MEDIAN('Tutte le stem'!I35:I37)</f>
        <v>36.4</v>
      </c>
      <c r="U36" s="3">
        <f>MEDIAN('Tutte le stem'!J35:J37)</f>
        <v>2.7</v>
      </c>
      <c r="V36" s="3">
        <f>MEDIAN('Tutte le stem'!V35:V37)</f>
        <v>63.7</v>
      </c>
      <c r="W36" s="3">
        <f>MEDIAN('Tutte le stem'!W35:W37)</f>
        <v>1666</v>
      </c>
      <c r="X36" s="3">
        <f>MEDIAN('Tutte le stem'!X35:X37)</f>
        <v>1515</v>
      </c>
      <c r="Y36" s="3">
        <f>MEDIAN('Tutte le stem'!Y35:Y37)</f>
        <v>32.9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2" s="14" customFormat="1" x14ac:dyDescent="0.25">
      <c r="A37" s="15" t="s">
        <v>74</v>
      </c>
      <c r="B37" s="3">
        <f>MIN('Tutte le stem'!E35:E37)</f>
        <v>26.1</v>
      </c>
      <c r="C37" s="3">
        <f>MIN('Tutte le stem'!F35:F37)</f>
        <v>105.3</v>
      </c>
      <c r="D37" s="3">
        <f>MIN('Tutte le stem'!G35:G37)</f>
        <v>0.2</v>
      </c>
      <c r="E37" s="3">
        <f>MIN('Tutte le stem'!K35:K37)</f>
        <v>94.3</v>
      </c>
      <c r="F37" s="3">
        <f>MIN('Tutte le stem'!L35:L37)</f>
        <v>2.5</v>
      </c>
      <c r="G37" s="3">
        <f>MIN('Tutte le stem'!M35:M37)</f>
        <v>44.9</v>
      </c>
      <c r="H37" s="3">
        <f>MIN('Tutte le stem'!N35:N37)</f>
        <v>32.4</v>
      </c>
      <c r="I37" s="3">
        <f>MIN('Tutte le stem'!O35:O37)</f>
        <v>107.8</v>
      </c>
      <c r="J37" s="3">
        <f>MIN('Tutte le stem'!P35:P37)</f>
        <v>1567</v>
      </c>
      <c r="K37" s="3">
        <f>MIN('Tutte le stem'!Q35:Q37)</f>
        <v>43.9</v>
      </c>
      <c r="L37" s="3">
        <f>MIN('Tutte le stem'!R35:R37)</f>
        <v>61.4</v>
      </c>
      <c r="M37" s="3">
        <f>MIN('Tutte le stem'!S35:S37)</f>
        <v>61.3</v>
      </c>
      <c r="N37" s="3">
        <f>MIN('Tutte le stem'!T35:T37)</f>
        <v>8</v>
      </c>
      <c r="O37" s="3">
        <f>MIN('Tutte le stem'!U35:U37)</f>
        <v>13.4</v>
      </c>
      <c r="P37" s="3">
        <f>MIN('Tutte le stem'!B35:B37)</f>
        <v>88</v>
      </c>
      <c r="Q37" s="3">
        <f>MIN('Tutte le stem'!C35:C37)</f>
        <v>46</v>
      </c>
      <c r="R37" s="3">
        <f>MIN('Tutte le stem'!D35:D37)</f>
        <v>71.900000000000006</v>
      </c>
      <c r="S37" s="3">
        <f>MIN('Tutte le stem'!H35:H37)</f>
        <v>47.4</v>
      </c>
      <c r="T37" s="3">
        <f>MIN('Tutte le stem'!I35:I37)</f>
        <v>28</v>
      </c>
      <c r="U37" s="3">
        <f>MIN('Tutte le stem'!J35:J37)</f>
        <v>2.7</v>
      </c>
      <c r="V37" s="3">
        <f>MIN('Tutte le stem'!V35:V37)</f>
        <v>39.5</v>
      </c>
      <c r="W37" s="3">
        <f>MIN('Tutte le stem'!W35:W37)</f>
        <v>1646</v>
      </c>
      <c r="X37" s="3">
        <f>MIN('Tutte le stem'!X35:X37)</f>
        <v>1459</v>
      </c>
      <c r="Y37" s="3">
        <f>MIN('Tutte le stem'!Y35:Y37)</f>
        <v>31.8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s="14" customFormat="1" x14ac:dyDescent="0.25">
      <c r="A38" s="15" t="s">
        <v>75</v>
      </c>
      <c r="B38" s="3">
        <f>MAX('Tutte le stem'!E35:E37)</f>
        <v>30.3</v>
      </c>
      <c r="C38" s="3">
        <f>MAX('Tutte le stem'!F35:F37)</f>
        <v>110.3</v>
      </c>
      <c r="D38" s="3">
        <f>MAX('Tutte le stem'!G35:G37)</f>
        <v>0.24</v>
      </c>
      <c r="E38" s="3">
        <f>MAX('Tutte le stem'!K35:K37)</f>
        <v>95.7</v>
      </c>
      <c r="F38" s="3">
        <f>MAX('Tutte le stem'!L35:L37)</f>
        <v>3.1</v>
      </c>
      <c r="G38" s="3">
        <f>MAX('Tutte le stem'!M35:M37)</f>
        <v>53.5</v>
      </c>
      <c r="H38" s="3">
        <f>MAX('Tutte le stem'!N35:N37)</f>
        <v>42.7</v>
      </c>
      <c r="I38" s="3">
        <f>MAX('Tutte le stem'!O35:O37)</f>
        <v>128</v>
      </c>
      <c r="J38" s="3">
        <f>MAX('Tutte le stem'!P35:P37)</f>
        <v>1741</v>
      </c>
      <c r="K38" s="3">
        <f>MAX('Tutte le stem'!Q35:Q37)</f>
        <v>58.1</v>
      </c>
      <c r="L38" s="3">
        <f>MAX('Tutte le stem'!R35:R37)</f>
        <v>63.9</v>
      </c>
      <c r="M38" s="3">
        <f>MAX('Tutte le stem'!S35:S37)</f>
        <v>61.9</v>
      </c>
      <c r="N38" s="3">
        <f>MAX('Tutte le stem'!T35:T37)</f>
        <v>8.1999999999999993</v>
      </c>
      <c r="O38" s="3">
        <f>MAX('Tutte le stem'!U35:U37)</f>
        <v>20.9</v>
      </c>
      <c r="P38" s="3">
        <f>MAX('Tutte le stem'!B35:B37)</f>
        <v>1034</v>
      </c>
      <c r="Q38" s="3">
        <f>MAX('Tutte le stem'!C35:C37)</f>
        <v>557</v>
      </c>
      <c r="R38" s="3">
        <f>MAX('Tutte le stem'!D35:D37)</f>
        <v>73.5</v>
      </c>
      <c r="S38" s="3">
        <f>MAX('Tutte le stem'!H35:H37)</f>
        <v>72</v>
      </c>
      <c r="T38" s="3">
        <f>MAX('Tutte le stem'!I35:I37)</f>
        <v>52.6</v>
      </c>
      <c r="U38" s="3">
        <f>MAX('Tutte le stem'!J35:J37)</f>
        <v>2.7</v>
      </c>
      <c r="V38" s="3">
        <f>MAX('Tutte le stem'!V35:V37)</f>
        <v>63.9</v>
      </c>
      <c r="W38" s="3">
        <f>MAX('Tutte le stem'!W35:W37)</f>
        <v>1871</v>
      </c>
      <c r="X38" s="3">
        <f>MAX('Tutte le stem'!X35:X37)</f>
        <v>1546</v>
      </c>
      <c r="Y38" s="3">
        <f>MAX('Tutte le stem'!Y35:Y37)</f>
        <v>35.700000000000003</v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s="14" customFormat="1" x14ac:dyDescent="0.25">
      <c r="A39" s="15" t="s">
        <v>76</v>
      </c>
      <c r="B39" s="23">
        <f>_xlfn.STDEV.P('Tutte le stem'!E35:E37)</f>
        <v>1.9131126469708992</v>
      </c>
      <c r="C39" s="23">
        <f>_xlfn.STDEV.P('Tutte le stem'!F35:F37)</f>
        <v>2.1452790546272125</v>
      </c>
      <c r="D39" s="23">
        <f>_xlfn.STDEV.P('Tutte le stem'!G35:G37)</f>
        <v>1.6996731711975941E-2</v>
      </c>
      <c r="E39" s="23">
        <f>_xlfn.STDEV.P('Tutte le stem'!K35:K37)</f>
        <v>0.63770421565696733</v>
      </c>
      <c r="F39" s="23">
        <f>_xlfn.STDEV.P('Tutte le stem'!L35:L37)</f>
        <v>0.24944382578492946</v>
      </c>
      <c r="G39" s="23">
        <f>_xlfn.STDEV.P('Tutte le stem'!M35:M37)</f>
        <v>3.8995726261561874</v>
      </c>
      <c r="H39" s="23">
        <f>_xlfn.STDEV.P('Tutte le stem'!N35:N37)</f>
        <v>4.2081930669693861</v>
      </c>
      <c r="I39" s="23">
        <f>_xlfn.STDEV.P('Tutte le stem'!O35:O37)</f>
        <v>9.3395217579203003</v>
      </c>
      <c r="J39" s="23">
        <f>_xlfn.STDEV.P('Tutte le stem'!P35:P37)</f>
        <v>71.721684308164427</v>
      </c>
      <c r="K39" s="23">
        <f>_xlfn.STDEV.P('Tutte le stem'!Q35:Q37)</f>
        <v>5.9901771444775882</v>
      </c>
      <c r="L39" s="23">
        <f>_xlfn.STDEV.P('Tutte le stem'!R35:R37)</f>
        <v>1.0230672835481871</v>
      </c>
      <c r="M39" s="23">
        <f>_xlfn.STDEV.P('Tutte le stem'!S35:S37)</f>
        <v>0.24944382578493046</v>
      </c>
      <c r="N39" s="23">
        <f>_xlfn.STDEV.P('Tutte le stem'!T35:T37)</f>
        <v>8.1649658092772318E-2</v>
      </c>
      <c r="O39" s="23">
        <f>_xlfn.STDEV.P('Tutte le stem'!U35:U37)</f>
        <v>3.2403703492039302</v>
      </c>
      <c r="P39" s="23">
        <f>_xlfn.STDEV.P('Tutte le stem'!B35:B37)</f>
        <v>437.93226264648126</v>
      </c>
      <c r="Q39" s="23">
        <f>_xlfn.STDEV.P('Tutte le stem'!C35:C37)</f>
        <v>237.6566150282097</v>
      </c>
      <c r="R39" s="23">
        <f>_xlfn.STDEV.P('Tutte le stem'!D35:D37)</f>
        <v>0.66833125519211145</v>
      </c>
      <c r="S39" s="23">
        <f>_xlfn.STDEV.P('Tutte le stem'!H35:H37)</f>
        <v>10.209799214480155</v>
      </c>
      <c r="T39" s="23">
        <f>_xlfn.STDEV.P('Tutte le stem'!I35:I37)</f>
        <v>10.209799214480174</v>
      </c>
      <c r="U39" s="23">
        <f>_xlfn.STDEV.P('Tutte le stem'!J35:J37)</f>
        <v>4.4408920985006262E-16</v>
      </c>
      <c r="V39" s="23">
        <f>_xlfn.STDEV.P('Tutte le stem'!V35:V37)</f>
        <v>11.455420841971158</v>
      </c>
      <c r="W39" s="23">
        <f>_xlfn.STDEV.P('Tutte le stem'!W35:W37)</f>
        <v>101.68032695113097</v>
      </c>
      <c r="X39" s="23">
        <f>_xlfn.STDEV.P('Tutte le stem'!X35:X37)</f>
        <v>36.003086287459048</v>
      </c>
      <c r="Y39" s="23">
        <f>_xlfn.STDEV.P('Tutte le stem'!Y35:Y37)</f>
        <v>1.6418147141366346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s="14" customFormat="1" x14ac:dyDescent="0.25">
      <c r="A40" s="15" t="s">
        <v>77</v>
      </c>
      <c r="B40" s="4">
        <f>B39/B35</f>
        <v>7.2880481789367596E-2</v>
      </c>
      <c r="C40" s="4">
        <f t="shared" ref="C40:Y40" si="3">C39/C35</f>
        <v>1.954696177336868E-2</v>
      </c>
      <c r="D40" s="4">
        <f t="shared" si="3"/>
        <v>7.2326517923301886E-2</v>
      </c>
      <c r="E40" s="4">
        <f t="shared" si="3"/>
        <v>6.7162108020744331E-3</v>
      </c>
      <c r="F40" s="4">
        <f t="shared" si="3"/>
        <v>9.2386602142566457E-2</v>
      </c>
      <c r="G40" s="4">
        <f t="shared" si="3"/>
        <v>7.9827484670546317E-2</v>
      </c>
      <c r="H40" s="4">
        <f t="shared" si="3"/>
        <v>0.1209250881313042</v>
      </c>
      <c r="I40" s="4">
        <f t="shared" si="3"/>
        <v>8.6317206635122934E-2</v>
      </c>
      <c r="J40" s="4">
        <f t="shared" si="3"/>
        <v>4.4826052692602765E-2</v>
      </c>
      <c r="K40" s="4">
        <f t="shared" si="3"/>
        <v>0.13064726596461482</v>
      </c>
      <c r="L40" s="4">
        <f t="shared" si="3"/>
        <v>1.6329884813219269E-2</v>
      </c>
      <c r="M40" s="4">
        <f t="shared" si="3"/>
        <v>4.0559971672346415E-3</v>
      </c>
      <c r="N40" s="4">
        <f t="shared" si="3"/>
        <v>1.0080204702811398E-2</v>
      </c>
      <c r="O40" s="4">
        <f t="shared" si="3"/>
        <v>0.22900143810628482</v>
      </c>
      <c r="P40" s="4">
        <f t="shared" si="3"/>
        <v>0.43082367205753197</v>
      </c>
      <c r="Q40" s="4">
        <f t="shared" si="3"/>
        <v>0.43210293641492675</v>
      </c>
      <c r="R40" s="4">
        <f t="shared" si="3"/>
        <v>9.193002134692041E-3</v>
      </c>
      <c r="S40" s="4">
        <f t="shared" si="3"/>
        <v>0.17101841230285017</v>
      </c>
      <c r="T40" s="4">
        <f t="shared" si="3"/>
        <v>0.2533448936595577</v>
      </c>
      <c r="U40" s="4">
        <f t="shared" si="3"/>
        <v>1.6447748512965281E-16</v>
      </c>
      <c r="V40" s="4">
        <f t="shared" si="3"/>
        <v>0.17955205081459497</v>
      </c>
      <c r="W40" s="4">
        <f t="shared" si="3"/>
        <v>6.140116361783271E-2</v>
      </c>
      <c r="X40" s="4">
        <f t="shared" si="3"/>
        <v>2.3523741448846159E-2</v>
      </c>
      <c r="Y40" s="4">
        <f t="shared" si="3"/>
        <v>5.0751614038226721E-2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2" s="14" customFormat="1" x14ac:dyDescent="0.25">
      <c r="A41" s="15" t="s">
        <v>78</v>
      </c>
      <c r="B41" s="3">
        <f>QUARTILE('Tutte le stem'!E35:E37,1)</f>
        <v>26.25</v>
      </c>
      <c r="C41" s="3">
        <f>QUARTILE('Tutte le stem'!F35:F37,1)</f>
        <v>107.25</v>
      </c>
      <c r="D41" s="3">
        <f>QUARTILE('Tutte le stem'!G35:G37,1)</f>
        <v>0.21500000000000002</v>
      </c>
      <c r="E41" s="3">
        <f>QUARTILE('Tutte le stem'!K35:K37,1)</f>
        <v>94.949999999999989</v>
      </c>
      <c r="F41" s="3">
        <f>QUARTILE('Tutte le stem'!L35:L37,1)</f>
        <v>2.7</v>
      </c>
      <c r="G41" s="3">
        <f>QUARTILE('Tutte le stem'!M35:M37,1)</f>
        <v>48.849999999999994</v>
      </c>
      <c r="H41" s="3">
        <f>QUARTILE('Tutte le stem'!N35:N37,1)</f>
        <v>34.799999999999997</v>
      </c>
      <c r="I41" s="3">
        <f>QUARTILE('Tutte le stem'!O35:O37,1)</f>
        <v>108.19999999999999</v>
      </c>
      <c r="J41" s="3">
        <f>QUARTILE('Tutte le stem'!P35:P37,1)</f>
        <v>1600</v>
      </c>
      <c r="K41" s="3">
        <f>QUARTILE('Tutte le stem'!Q35:Q37,1)</f>
        <v>45.849999999999994</v>
      </c>
      <c r="L41" s="3">
        <f>QUARTILE('Tutte le stem'!R35:R37,1)</f>
        <v>62.099999999999994</v>
      </c>
      <c r="M41" s="3">
        <f>QUARTILE('Tutte le stem'!S35:S37,1)</f>
        <v>61.5</v>
      </c>
      <c r="N41" s="3">
        <f>QUARTILE('Tutte le stem'!T35:T37,1)</f>
        <v>8.0500000000000007</v>
      </c>
      <c r="O41" s="3">
        <f>QUARTILE('Tutte le stem'!U35:U37,1)</f>
        <v>14.15</v>
      </c>
      <c r="P41" s="3">
        <f>QUARTILE('Tutte le stem'!B35:B37,1)</f>
        <v>543.5</v>
      </c>
      <c r="Q41" s="3">
        <f>QUARTILE('Tutte le stem'!C35:C37,1)</f>
        <v>294.5</v>
      </c>
      <c r="R41" s="3">
        <f>QUARTILE('Tutte le stem'!D35:D37,1)</f>
        <v>72.45</v>
      </c>
      <c r="S41" s="3">
        <f>QUARTILE('Tutte le stem'!H35:H37,1)</f>
        <v>55.5</v>
      </c>
      <c r="T41" s="3">
        <f>QUARTILE('Tutte le stem'!I35:I37,1)</f>
        <v>32.200000000000003</v>
      </c>
      <c r="U41" s="3">
        <f>QUARTILE('Tutte le stem'!J35:J37,1)</f>
        <v>2.7</v>
      </c>
      <c r="V41" s="3">
        <f>QUARTILE('Tutte le stem'!V35:V37,1)</f>
        <v>51.6</v>
      </c>
      <c r="W41" s="3">
        <f>QUARTILE('Tutte le stem'!W35:W37,1)</f>
        <v>1656</v>
      </c>
      <c r="X41" s="3">
        <f>QUARTILE('Tutte le stem'!X35:X37,1)</f>
        <v>1487</v>
      </c>
      <c r="Y41" s="3">
        <f>QUARTILE('Tutte le stem'!Y35:Y37,1)</f>
        <v>32.35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2" s="14" customFormat="1" x14ac:dyDescent="0.25">
      <c r="A42" s="15" t="s">
        <v>79</v>
      </c>
      <c r="B42" s="3">
        <f>QUARTILE('Tutte le stem'!E35:E37,3)</f>
        <v>28.35</v>
      </c>
      <c r="C42" s="3">
        <f>QUARTILE('Tutte le stem'!F35:F37,3)</f>
        <v>109.75</v>
      </c>
      <c r="D42" s="3">
        <f>QUARTILE('Tutte le stem'!G35:G37,3)</f>
        <v>0.23499999999999999</v>
      </c>
      <c r="E42" s="3">
        <f>QUARTILE('Tutte le stem'!K35:K37,3)</f>
        <v>95.65</v>
      </c>
      <c r="F42" s="3">
        <f>QUARTILE('Tutte le stem'!L35:L37,3)</f>
        <v>3</v>
      </c>
      <c r="G42" s="3">
        <f>QUARTILE('Tutte le stem'!M35:M37,3)</f>
        <v>53.15</v>
      </c>
      <c r="H42" s="3">
        <f>QUARTILE('Tutte le stem'!N35:N37,3)</f>
        <v>39.950000000000003</v>
      </c>
      <c r="I42" s="3">
        <f>QUARTILE('Tutte le stem'!O35:O37,3)</f>
        <v>118.3</v>
      </c>
      <c r="J42" s="3">
        <f>QUARTILE('Tutte le stem'!P35:P37,3)</f>
        <v>1687</v>
      </c>
      <c r="K42" s="3">
        <f>QUARTILE('Tutte le stem'!Q35:Q37,3)</f>
        <v>52.95</v>
      </c>
      <c r="L42" s="3">
        <f>QUARTILE('Tutte le stem'!R35:R37,3)</f>
        <v>63.349999999999994</v>
      </c>
      <c r="M42" s="3">
        <f>QUARTILE('Tutte le stem'!S35:S37,3)</f>
        <v>61.8</v>
      </c>
      <c r="N42" s="3">
        <f>QUARTILE('Tutte le stem'!T35:T37,3)</f>
        <v>8.1499999999999986</v>
      </c>
      <c r="O42" s="3">
        <f>QUARTILE('Tutte le stem'!U35:U37,3)</f>
        <v>17.899999999999999</v>
      </c>
      <c r="P42" s="3">
        <f>QUARTILE('Tutte le stem'!B35:B37,3)</f>
        <v>1016.5</v>
      </c>
      <c r="Q42" s="3">
        <f>QUARTILE('Tutte le stem'!C35:C37,3)</f>
        <v>550</v>
      </c>
      <c r="R42" s="3">
        <f>QUARTILE('Tutte le stem'!D35:D37,3)</f>
        <v>73.25</v>
      </c>
      <c r="S42" s="3">
        <f>QUARTILE('Tutte le stem'!H35:H37,3)</f>
        <v>67.8</v>
      </c>
      <c r="T42" s="3">
        <f>QUARTILE('Tutte le stem'!I35:I37,3)</f>
        <v>44.5</v>
      </c>
      <c r="U42" s="3">
        <f>QUARTILE('Tutte le stem'!J35:J37,3)</f>
        <v>2.7</v>
      </c>
      <c r="V42" s="3">
        <f>QUARTILE('Tutte le stem'!V35:V37,3)</f>
        <v>63.8</v>
      </c>
      <c r="W42" s="3">
        <f>QUARTILE('Tutte le stem'!W35:W37,3)</f>
        <v>1768.5</v>
      </c>
      <c r="X42" s="3">
        <f>QUARTILE('Tutte le stem'!X35:X37,3)</f>
        <v>1530.5</v>
      </c>
      <c r="Y42" s="3">
        <f>QUARTILE('Tutte le stem'!Y35:Y37,3)</f>
        <v>34.299999999999997</v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2" x14ac:dyDescent="0.25">
      <c r="A43"/>
    </row>
    <row r="44" spans="1:52" s="34" customFormat="1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2" ht="30" customHeight="1" x14ac:dyDescent="0.25">
      <c r="A45" s="22" t="s">
        <v>85</v>
      </c>
      <c r="B45" s="15" t="s">
        <v>3</v>
      </c>
      <c r="C45" s="15" t="s">
        <v>4</v>
      </c>
      <c r="D45" s="13" t="s">
        <v>6</v>
      </c>
      <c r="E45" s="13" t="s">
        <v>7</v>
      </c>
      <c r="F45" s="13" t="s">
        <v>8</v>
      </c>
      <c r="G45" s="13" t="s">
        <v>9</v>
      </c>
      <c r="H45" s="13" t="s">
        <v>11</v>
      </c>
      <c r="I45" s="13" t="s">
        <v>21</v>
      </c>
      <c r="J45" s="13" t="s">
        <v>14</v>
      </c>
      <c r="K45" s="13" t="s">
        <v>15</v>
      </c>
      <c r="L45" s="13" t="s">
        <v>22</v>
      </c>
      <c r="M45" s="13" t="s">
        <v>16</v>
      </c>
      <c r="N45" s="13" t="s">
        <v>17</v>
      </c>
      <c r="O45" s="13" t="s">
        <v>18</v>
      </c>
      <c r="P45" s="13" t="s">
        <v>0</v>
      </c>
      <c r="Q45" s="13" t="s">
        <v>1</v>
      </c>
      <c r="R45" s="13" t="s">
        <v>2</v>
      </c>
      <c r="S45" s="13" t="s">
        <v>69</v>
      </c>
      <c r="T45" s="13" t="s">
        <v>70</v>
      </c>
      <c r="U45" s="13" t="s">
        <v>5</v>
      </c>
      <c r="V45" s="13" t="s">
        <v>10</v>
      </c>
      <c r="W45" s="13" t="s">
        <v>12</v>
      </c>
      <c r="X45" s="13" t="s">
        <v>13</v>
      </c>
      <c r="Y45" s="13" t="s">
        <v>20</v>
      </c>
    </row>
    <row r="46" spans="1:52" s="14" customFormat="1" x14ac:dyDescent="0.25">
      <c r="A46" s="15" t="s">
        <v>72</v>
      </c>
      <c r="B46" s="23">
        <v>27.022222222222219</v>
      </c>
      <c r="C46" s="23">
        <v>107.82222222222222</v>
      </c>
      <c r="D46" s="23">
        <v>0.24999999999999994</v>
      </c>
      <c r="E46" s="23">
        <v>91.769444444444446</v>
      </c>
      <c r="F46" s="23">
        <v>3.6527777777777768</v>
      </c>
      <c r="G46" s="23">
        <v>55.280555555555537</v>
      </c>
      <c r="H46" s="23">
        <v>39.288888888888899</v>
      </c>
      <c r="I46" s="23">
        <v>111.31944444444443</v>
      </c>
      <c r="J46" s="23">
        <v>1606.5</v>
      </c>
      <c r="K46" s="23">
        <v>51.586111111111109</v>
      </c>
      <c r="L46" s="23">
        <v>59.658333333333317</v>
      </c>
      <c r="M46" s="23">
        <v>62.677777777777777</v>
      </c>
      <c r="N46" s="23">
        <v>7.783333333333335</v>
      </c>
      <c r="O46" s="23">
        <v>20.886111111111106</v>
      </c>
      <c r="P46" s="23">
        <v>828.88888888888891</v>
      </c>
      <c r="Q46" s="23">
        <v>432.44444444444446</v>
      </c>
      <c r="R46" s="23">
        <v>68.941666666666663</v>
      </c>
      <c r="S46" s="23">
        <v>59.369444444444447</v>
      </c>
      <c r="T46" s="23">
        <v>40.630555555555553</v>
      </c>
      <c r="U46" s="23">
        <v>2.808333333333334</v>
      </c>
      <c r="V46" s="23">
        <v>47.43611111111111</v>
      </c>
      <c r="W46" s="23">
        <v>1699.4166666666667</v>
      </c>
      <c r="X46" s="23">
        <v>1540.1388888888889</v>
      </c>
      <c r="Y46" s="23">
        <v>28.633333333333333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2" s="14" customFormat="1" x14ac:dyDescent="0.25">
      <c r="A47" s="15" t="s">
        <v>73</v>
      </c>
      <c r="B47" s="3">
        <v>26.799999999999997</v>
      </c>
      <c r="C47" s="3">
        <v>107.65</v>
      </c>
      <c r="D47" s="3">
        <v>0.23499999999999999</v>
      </c>
      <c r="E47" s="3">
        <v>94.35</v>
      </c>
      <c r="F47" s="3">
        <v>3.05</v>
      </c>
      <c r="G47" s="3">
        <v>53.85</v>
      </c>
      <c r="H47" s="3">
        <v>41.1</v>
      </c>
      <c r="I47" s="3">
        <v>106.95</v>
      </c>
      <c r="J47" s="3">
        <v>1639.5</v>
      </c>
      <c r="K47" s="3">
        <v>52.85</v>
      </c>
      <c r="L47" s="3">
        <v>62.45</v>
      </c>
      <c r="M47" s="3">
        <v>62.45</v>
      </c>
      <c r="N47" s="3">
        <v>7.8</v>
      </c>
      <c r="O47" s="3">
        <v>20.25</v>
      </c>
      <c r="P47" s="3">
        <v>642</v>
      </c>
      <c r="Q47" s="3">
        <v>347</v>
      </c>
      <c r="R47" s="3">
        <v>69.900000000000006</v>
      </c>
      <c r="S47" s="3">
        <v>58.85</v>
      </c>
      <c r="T47" s="3">
        <v>41.15</v>
      </c>
      <c r="U47" s="3">
        <v>2.75</v>
      </c>
      <c r="V47" s="3">
        <v>44.599999999999994</v>
      </c>
      <c r="W47" s="3">
        <v>1680.5</v>
      </c>
      <c r="X47" s="3">
        <v>1571</v>
      </c>
      <c r="Y47" s="3">
        <v>29.25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2" s="14" customFormat="1" x14ac:dyDescent="0.25">
      <c r="A48" s="15" t="s">
        <v>74</v>
      </c>
      <c r="B48" s="3">
        <v>26</v>
      </c>
      <c r="C48" s="3">
        <v>105.3</v>
      </c>
      <c r="D48" s="3">
        <v>0.11</v>
      </c>
      <c r="E48" s="3">
        <v>73.8</v>
      </c>
      <c r="F48" s="3">
        <v>1.6</v>
      </c>
      <c r="G48" s="3">
        <v>16.7</v>
      </c>
      <c r="H48" s="3">
        <v>25.4</v>
      </c>
      <c r="I48" s="3">
        <v>93.1</v>
      </c>
      <c r="J48" s="3">
        <v>1193</v>
      </c>
      <c r="K48" s="3">
        <v>27.8</v>
      </c>
      <c r="L48" s="3">
        <v>35.700000000000003</v>
      </c>
      <c r="M48" s="3">
        <v>31.3</v>
      </c>
      <c r="N48" s="3">
        <v>7.4</v>
      </c>
      <c r="O48" s="3">
        <v>10.5</v>
      </c>
      <c r="P48" s="3">
        <v>88</v>
      </c>
      <c r="Q48" s="3">
        <v>42</v>
      </c>
      <c r="R48" s="3">
        <v>56.6</v>
      </c>
      <c r="S48" s="3">
        <v>18.3</v>
      </c>
      <c r="T48" s="3">
        <v>7.8</v>
      </c>
      <c r="U48" s="3">
        <v>2.4</v>
      </c>
      <c r="V48" s="3">
        <v>16.7</v>
      </c>
      <c r="W48" s="3">
        <v>1278</v>
      </c>
      <c r="X48" s="3">
        <v>1121</v>
      </c>
      <c r="Y48" s="3">
        <v>10.199999999999999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2" s="14" customFormat="1" x14ac:dyDescent="0.25">
      <c r="A49" s="15" t="s">
        <v>75</v>
      </c>
      <c r="B49" s="3">
        <v>30.3</v>
      </c>
      <c r="C49" s="3">
        <v>110.3</v>
      </c>
      <c r="D49" s="3">
        <v>0.49</v>
      </c>
      <c r="E49" s="3">
        <v>97.7</v>
      </c>
      <c r="F49" s="3">
        <v>8.3000000000000007</v>
      </c>
      <c r="G49" s="3">
        <v>86.3</v>
      </c>
      <c r="H49" s="3">
        <v>43</v>
      </c>
      <c r="I49" s="3">
        <v>244.5</v>
      </c>
      <c r="J49" s="3">
        <v>1873</v>
      </c>
      <c r="K49" s="3">
        <v>67.7</v>
      </c>
      <c r="L49" s="3">
        <v>71.8</v>
      </c>
      <c r="M49" s="3">
        <v>84.6</v>
      </c>
      <c r="N49" s="3">
        <v>8.1999999999999993</v>
      </c>
      <c r="O49" s="3">
        <v>47.6</v>
      </c>
      <c r="P49" s="3">
        <v>3238</v>
      </c>
      <c r="Q49" s="3">
        <v>1673</v>
      </c>
      <c r="R49" s="3">
        <v>85.1</v>
      </c>
      <c r="S49" s="3">
        <v>92.2</v>
      </c>
      <c r="T49" s="3">
        <v>81.7</v>
      </c>
      <c r="U49" s="3">
        <v>3.4</v>
      </c>
      <c r="V49" s="3">
        <v>79.599999999999994</v>
      </c>
      <c r="W49" s="3">
        <v>3250</v>
      </c>
      <c r="X49" s="3">
        <v>1819</v>
      </c>
      <c r="Y49" s="3">
        <v>43.3</v>
      </c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s="14" customFormat="1" x14ac:dyDescent="0.25">
      <c r="A50" s="15" t="s">
        <v>76</v>
      </c>
      <c r="B50" s="5">
        <v>0.88163708555010534</v>
      </c>
      <c r="C50" s="5">
        <v>1.5204369092671122</v>
      </c>
      <c r="D50" s="5">
        <v>9.1712109947984038E-2</v>
      </c>
      <c r="E50" s="5">
        <v>5.5268948206044852</v>
      </c>
      <c r="F50" s="5">
        <v>1.6609043907045749</v>
      </c>
      <c r="G50" s="5">
        <v>21.888947229194699</v>
      </c>
      <c r="H50" s="5">
        <v>3.9129967045573326</v>
      </c>
      <c r="I50" s="5">
        <v>23.699236033683633</v>
      </c>
      <c r="J50" s="5">
        <v>167.87321604909661</v>
      </c>
      <c r="K50" s="5">
        <v>8.7390615049703868</v>
      </c>
      <c r="L50" s="5">
        <v>9.1112072318779322</v>
      </c>
      <c r="M50" s="5">
        <v>9.9016584220105521</v>
      </c>
      <c r="N50" s="5">
        <v>0.18181186857726178</v>
      </c>
      <c r="O50" s="5">
        <v>7.0867306667609542</v>
      </c>
      <c r="P50" s="5">
        <v>744.07174750295337</v>
      </c>
      <c r="Q50" s="5">
        <v>389.84038360764788</v>
      </c>
      <c r="R50" s="5">
        <v>5.3907005832060246</v>
      </c>
      <c r="S50" s="5">
        <v>19.955308670521781</v>
      </c>
      <c r="T50" s="5">
        <v>19.955308670521816</v>
      </c>
      <c r="U50" s="5">
        <v>0.23848480035423641</v>
      </c>
      <c r="V50" s="5">
        <v>17.235205455658654</v>
      </c>
      <c r="W50" s="5">
        <v>301.12975931389519</v>
      </c>
      <c r="X50" s="5">
        <v>169.61478459828018</v>
      </c>
      <c r="Y50" s="5">
        <v>7.815760430764966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s="14" customFormat="1" x14ac:dyDescent="0.25">
      <c r="A51" s="15" t="s">
        <v>77</v>
      </c>
      <c r="B51" s="5">
        <v>3.2626372409337787E-2</v>
      </c>
      <c r="C51" s="5">
        <v>1.4101331598726308E-2</v>
      </c>
      <c r="D51" s="5">
        <v>0.36684843979193621</v>
      </c>
      <c r="E51" s="5">
        <v>6.0225872065187959E-2</v>
      </c>
      <c r="F51" s="5">
        <v>0.45469625905220312</v>
      </c>
      <c r="G51" s="5">
        <v>0.39596105735943393</v>
      </c>
      <c r="H51" s="5">
        <v>9.9595504358076875E-2</v>
      </c>
      <c r="I51" s="5">
        <v>0.21289394815037077</v>
      </c>
      <c r="J51" s="5">
        <v>0.10449624403927582</v>
      </c>
      <c r="K51" s="5">
        <v>0.16940725549455277</v>
      </c>
      <c r="L51" s="5">
        <v>0.15272312722801398</v>
      </c>
      <c r="M51" s="5">
        <v>0.15797717744742948</v>
      </c>
      <c r="N51" s="5">
        <v>2.3359126583802365E-2</v>
      </c>
      <c r="O51" s="5">
        <v>0.33930350312993007</v>
      </c>
      <c r="P51" s="5">
        <v>0.89767369001696784</v>
      </c>
      <c r="Q51" s="5">
        <v>0.90148084595807576</v>
      </c>
      <c r="R51" s="5">
        <v>7.8192199925628314E-2</v>
      </c>
      <c r="S51" s="5">
        <v>0.33612085909267958</v>
      </c>
      <c r="T51" s="5">
        <v>0.49114043353988202</v>
      </c>
      <c r="U51" s="5">
        <v>8.4920403686968432E-2</v>
      </c>
      <c r="V51" s="5">
        <v>0.36333512701511483</v>
      </c>
      <c r="W51" s="5">
        <v>0.17719595507118827</v>
      </c>
      <c r="X51" s="5">
        <v>0.11012953820070495</v>
      </c>
      <c r="Y51" s="5">
        <v>0.27296020130727472</v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s="14" customFormat="1" x14ac:dyDescent="0.25">
      <c r="A52" s="15" t="s">
        <v>78</v>
      </c>
      <c r="B52" s="5">
        <v>26.4</v>
      </c>
      <c r="C52" s="5">
        <v>106.77500000000001</v>
      </c>
      <c r="D52" s="5">
        <v>0.18</v>
      </c>
      <c r="E52" s="5">
        <v>89.25</v>
      </c>
      <c r="F52" s="5">
        <v>2.2749999999999999</v>
      </c>
      <c r="G52" s="5">
        <v>37.325000000000003</v>
      </c>
      <c r="H52" s="5">
        <v>38.075000000000003</v>
      </c>
      <c r="I52" s="5">
        <v>103.82499999999999</v>
      </c>
      <c r="J52" s="5">
        <v>1474.25</v>
      </c>
      <c r="K52" s="5">
        <v>45.225000000000001</v>
      </c>
      <c r="L52" s="5">
        <v>55.524999999999999</v>
      </c>
      <c r="M52" s="5">
        <v>58.550000000000004</v>
      </c>
      <c r="N52" s="5">
        <v>7.7</v>
      </c>
      <c r="O52" s="5">
        <v>16.574999999999999</v>
      </c>
      <c r="P52" s="5">
        <v>307</v>
      </c>
      <c r="Q52" s="5">
        <v>157.5</v>
      </c>
      <c r="R52" s="5">
        <v>65</v>
      </c>
      <c r="S52" s="5">
        <v>46.75</v>
      </c>
      <c r="T52" s="5">
        <v>22.425000000000001</v>
      </c>
      <c r="U52" s="5">
        <v>2.6750000000000003</v>
      </c>
      <c r="V52" s="5">
        <v>34.625</v>
      </c>
      <c r="W52" s="5">
        <v>1563.75</v>
      </c>
      <c r="X52" s="5">
        <v>1430.5</v>
      </c>
      <c r="Y52" s="5">
        <v>24.524999999999999</v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52" s="14" customFormat="1" x14ac:dyDescent="0.25">
      <c r="A53" s="15" t="s">
        <v>79</v>
      </c>
      <c r="B53" s="5">
        <v>27.4</v>
      </c>
      <c r="C53" s="5">
        <v>109</v>
      </c>
      <c r="D53" s="5">
        <v>0.315</v>
      </c>
      <c r="E53" s="5">
        <v>95.625</v>
      </c>
      <c r="F53" s="5">
        <v>4.8499999999999996</v>
      </c>
      <c r="G53" s="5">
        <v>76.600000000000009</v>
      </c>
      <c r="H53" s="5">
        <v>41.924999999999997</v>
      </c>
      <c r="I53" s="5">
        <v>110.92500000000001</v>
      </c>
      <c r="J53" s="5">
        <v>1743.5</v>
      </c>
      <c r="K53" s="5">
        <v>56.75</v>
      </c>
      <c r="L53" s="5">
        <v>65.699999999999989</v>
      </c>
      <c r="M53" s="5">
        <v>68.875</v>
      </c>
      <c r="N53" s="5">
        <v>7.9</v>
      </c>
      <c r="O53" s="5">
        <v>22.625</v>
      </c>
      <c r="P53" s="5">
        <v>984</v>
      </c>
      <c r="Q53" s="5">
        <v>519.75</v>
      </c>
      <c r="R53" s="5">
        <v>71.925000000000011</v>
      </c>
      <c r="S53" s="5">
        <v>77.575000000000003</v>
      </c>
      <c r="T53" s="5">
        <v>53.25</v>
      </c>
      <c r="U53" s="5">
        <v>3</v>
      </c>
      <c r="V53" s="5">
        <v>61.674999999999997</v>
      </c>
      <c r="W53" s="5">
        <v>1778.5</v>
      </c>
      <c r="X53" s="5">
        <v>1681.25</v>
      </c>
      <c r="Y53" s="5">
        <v>33.424999999999997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2" s="14" customFormat="1" x14ac:dyDescent="0.25">
      <c r="A54" s="15" t="s">
        <v>80</v>
      </c>
      <c r="B54" s="3">
        <v>26.4</v>
      </c>
      <c r="C54" s="3">
        <v>109</v>
      </c>
      <c r="D54" s="3">
        <v>0.21</v>
      </c>
      <c r="E54" s="3">
        <v>96.9</v>
      </c>
      <c r="F54" s="3">
        <v>2.9</v>
      </c>
      <c r="G54" s="3">
        <v>21.3</v>
      </c>
      <c r="H54" s="3">
        <v>41.1</v>
      </c>
      <c r="I54" s="3">
        <v>103</v>
      </c>
      <c r="J54" s="3">
        <v>1387</v>
      </c>
      <c r="K54" s="3">
        <v>48.2</v>
      </c>
      <c r="L54" s="3">
        <v>57.5</v>
      </c>
      <c r="M54" s="3">
        <v>73.2</v>
      </c>
      <c r="N54" s="3">
        <v>7.8</v>
      </c>
      <c r="O54" s="3">
        <v>20.3</v>
      </c>
      <c r="P54" s="3">
        <v>210</v>
      </c>
      <c r="Q54" s="3">
        <v>42</v>
      </c>
      <c r="R54" s="3">
        <v>73.5</v>
      </c>
      <c r="S54" s="3">
        <v>63.6</v>
      </c>
      <c r="T54" s="3">
        <v>36.4</v>
      </c>
      <c r="U54" s="3">
        <v>2.7</v>
      </c>
      <c r="V54" s="3">
        <v>46.8</v>
      </c>
      <c r="W54" s="3" t="e">
        <v>#N/A</v>
      </c>
      <c r="X54" s="3">
        <v>1583</v>
      </c>
      <c r="Y54" s="3" t="e">
        <v>#N/A</v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</sheetData>
  <pageMargins left="0.7" right="0.7" top="0.75" bottom="0.75" header="0.3" footer="0.3"/>
  <ignoredErrors>
    <ignoredError sqref="B2:Y5 B6:Y6 B8:Y9 B13:Y20 B24:Y31 B35:X39 Y35:Y39 B41:Y41 B42:Y4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Tutte le stem</vt:lpstr>
      <vt:lpstr>STEM non analizzate</vt:lpstr>
      <vt:lpstr>Singoli gruppi 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fracu</cp:lastModifiedBy>
  <dcterms:created xsi:type="dcterms:W3CDTF">2023-05-11T15:32:46Z</dcterms:created>
  <dcterms:modified xsi:type="dcterms:W3CDTF">2023-06-13T06:55:19Z</dcterms:modified>
</cp:coreProperties>
</file>